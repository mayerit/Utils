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root\Desktop\Utils\"/>
    </mc:Choice>
  </mc:AlternateContent>
  <bookViews>
    <workbookView xWindow="0" yWindow="0" windowWidth="12480" windowHeight="8205"/>
  </bookViews>
  <sheets>
    <sheet name="CALC" sheetId="23" r:id="rId1"/>
    <sheet name="bkp-calc" sheetId="24" r:id="rId2"/>
    <sheet name="Planilha1" sheetId="1" r:id="rId3"/>
    <sheet name="Planilha7" sheetId="22" r:id="rId4"/>
    <sheet name="Planilha6" sheetId="21" r:id="rId5"/>
    <sheet name="TABELAS" sheetId="17" r:id="rId6"/>
    <sheet name="DEPTO" sheetId="18" r:id="rId7"/>
    <sheet name="FUNCIONÁRIO" sheetId="19" r:id="rId8"/>
    <sheet name="DEPENDENTES" sheetId="20" r:id="rId9"/>
  </sheets>
  <functionGroups builtInGroupCount="18"/>
  <definedNames>
    <definedName name="Nome" localSheetId="1">#REF!</definedName>
    <definedName name="Nome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3" l="1"/>
  <c r="C16" i="23" l="1"/>
  <c r="L12" i="23" l="1"/>
  <c r="B17" i="23" l="1"/>
  <c r="J7" i="23"/>
  <c r="B29" i="24"/>
  <c r="E29" i="24" s="1"/>
  <c r="B25" i="24"/>
  <c r="E25" i="24" s="1"/>
  <c r="B22" i="24"/>
  <c r="B10" i="24"/>
  <c r="E33" i="24" s="1"/>
  <c r="B33" i="24" s="1"/>
  <c r="B36" i="23"/>
  <c r="E36" i="23" s="1"/>
  <c r="B32" i="23"/>
  <c r="E32" i="23" s="1"/>
  <c r="B29" i="23"/>
  <c r="B10" i="23"/>
  <c r="E40" i="23" s="1"/>
  <c r="B40" i="23" s="1"/>
  <c r="F7" i="22"/>
  <c r="R5" i="22"/>
  <c r="R4" i="22"/>
  <c r="R3" i="22"/>
  <c r="D23" i="22"/>
  <c r="B23" i="22"/>
  <c r="B17" i="22"/>
  <c r="D17" i="22" s="1"/>
  <c r="C8" i="22"/>
  <c r="C6" i="22"/>
  <c r="C5" i="22"/>
  <c r="D21" i="22"/>
  <c r="D20" i="22"/>
  <c r="D19" i="22"/>
  <c r="D14" i="22"/>
  <c r="D15" i="22"/>
  <c r="D13" i="22"/>
  <c r="B18" i="23" l="1"/>
  <c r="E16" i="24"/>
  <c r="B16" i="24" s="1"/>
  <c r="E14" i="24"/>
  <c r="B14" i="24" s="1"/>
  <c r="E15" i="24"/>
  <c r="B15" i="24" s="1"/>
  <c r="E17" i="24"/>
  <c r="B17" i="24" s="1"/>
  <c r="E22" i="23"/>
  <c r="B22" i="23" s="1"/>
  <c r="E23" i="23"/>
  <c r="B23" i="23" s="1"/>
  <c r="E21" i="23"/>
  <c r="B21" i="23" s="1"/>
  <c r="E24" i="23"/>
  <c r="B24" i="23" s="1"/>
  <c r="D16" i="22"/>
  <c r="D22" i="22"/>
  <c r="B18" i="24" l="1"/>
  <c r="B19" i="24"/>
  <c r="B30" i="24"/>
  <c r="E30" i="24" s="1"/>
  <c r="B26" i="24"/>
  <c r="E26" i="24" s="1"/>
  <c r="B25" i="23"/>
  <c r="B37" i="23" l="1"/>
  <c r="E37" i="23" s="1"/>
  <c r="B33" i="23"/>
  <c r="E33" i="23" s="1"/>
  <c r="B26" i="23"/>
  <c r="N3" i="1" l="1"/>
  <c r="J13" i="1"/>
  <c r="K13" i="1" s="1"/>
  <c r="O3" i="1"/>
  <c r="P3" i="1" s="1"/>
  <c r="F6" i="1"/>
  <c r="Q3" i="1" l="1"/>
  <c r="R3" i="1"/>
  <c r="S3" i="1" l="1"/>
  <c r="T3" i="1" s="1"/>
  <c r="M4" i="1" l="1"/>
  <c r="M5" i="1" s="1"/>
  <c r="M6" i="1" s="1"/>
  <c r="M7" i="1" l="1"/>
  <c r="N6" i="1"/>
  <c r="O6" i="1"/>
  <c r="P6" i="1" s="1"/>
  <c r="O5" i="1"/>
  <c r="P5" i="1" s="1"/>
  <c r="Q5" i="1" s="1"/>
  <c r="N5" i="1"/>
  <c r="N4" i="1"/>
  <c r="O4" i="1"/>
  <c r="P4" i="1" s="1"/>
  <c r="R5" i="1" l="1"/>
  <c r="S5" i="1" s="1"/>
  <c r="T5" i="1" s="1"/>
  <c r="Q6" i="1"/>
  <c r="R6" i="1"/>
  <c r="M8" i="1"/>
  <c r="N7" i="1"/>
  <c r="O7" i="1"/>
  <c r="P7" i="1" s="1"/>
  <c r="R4" i="1"/>
  <c r="Q4" i="1"/>
  <c r="S6" i="1" l="1"/>
  <c r="T6" i="1" s="1"/>
  <c r="Q7" i="1"/>
  <c r="R7" i="1"/>
  <c r="S4" i="1"/>
  <c r="T4" i="1" s="1"/>
  <c r="M9" i="1"/>
  <c r="N8" i="1"/>
  <c r="O8" i="1"/>
  <c r="P8" i="1" s="1"/>
  <c r="S7" i="1" l="1"/>
  <c r="T7" i="1" s="1"/>
  <c r="M10" i="1"/>
  <c r="O9" i="1"/>
  <c r="P9" i="1" s="1"/>
  <c r="N9" i="1"/>
  <c r="Q8" i="1"/>
  <c r="R8" i="1"/>
  <c r="S8" i="1" l="1"/>
  <c r="T8" i="1" s="1"/>
  <c r="Q9" i="1"/>
  <c r="R9" i="1"/>
  <c r="M11" i="1"/>
  <c r="O10" i="1"/>
  <c r="P10" i="1" s="1"/>
  <c r="N10" i="1"/>
  <c r="S9" i="1" l="1"/>
  <c r="T9" i="1" s="1"/>
  <c r="M12" i="1"/>
  <c r="N11" i="1"/>
  <c r="O11" i="1"/>
  <c r="P11" i="1" s="1"/>
  <c r="Q10" i="1"/>
  <c r="R10" i="1"/>
  <c r="S10" i="1" l="1"/>
  <c r="T10" i="1" s="1"/>
  <c r="Q11" i="1"/>
  <c r="R11" i="1"/>
  <c r="M13" i="1"/>
  <c r="O12" i="1"/>
  <c r="P12" i="1" s="1"/>
  <c r="N12" i="1"/>
  <c r="S11" i="1" l="1"/>
  <c r="T11" i="1" s="1"/>
  <c r="M14" i="1"/>
  <c r="O13" i="1"/>
  <c r="P13" i="1" s="1"/>
  <c r="N13" i="1"/>
  <c r="R12" i="1"/>
  <c r="Q12" i="1"/>
  <c r="Q13" i="1" l="1"/>
  <c r="R13" i="1"/>
  <c r="S12" i="1"/>
  <c r="T12" i="1" s="1"/>
  <c r="M15" i="1"/>
  <c r="N14" i="1"/>
  <c r="O14" i="1"/>
  <c r="P14" i="1" s="1"/>
  <c r="S13" i="1" l="1"/>
  <c r="T13" i="1" s="1"/>
  <c r="Q14" i="1"/>
  <c r="R14" i="1"/>
  <c r="M16" i="1"/>
  <c r="N15" i="1"/>
  <c r="O15" i="1"/>
  <c r="P15" i="1" s="1"/>
  <c r="S14" i="1" l="1"/>
  <c r="T14" i="1" s="1"/>
  <c r="M17" i="1"/>
  <c r="N16" i="1"/>
  <c r="O16" i="1"/>
  <c r="P16" i="1" s="1"/>
  <c r="Q15" i="1"/>
  <c r="R15" i="1"/>
  <c r="S15" i="1" l="1"/>
  <c r="T15" i="1" s="1"/>
  <c r="Q16" i="1"/>
  <c r="R16" i="1"/>
  <c r="M18" i="1"/>
  <c r="N17" i="1"/>
  <c r="O17" i="1"/>
  <c r="P17" i="1" s="1"/>
  <c r="S16" i="1" l="1"/>
  <c r="T16" i="1" s="1"/>
  <c r="M19" i="1"/>
  <c r="N18" i="1"/>
  <c r="O18" i="1"/>
  <c r="P18" i="1" s="1"/>
  <c r="R17" i="1"/>
  <c r="Q17" i="1"/>
  <c r="R18" i="1" l="1"/>
  <c r="Q18" i="1"/>
  <c r="S18" i="1" s="1"/>
  <c r="T18" i="1" s="1"/>
  <c r="S17" i="1"/>
  <c r="T17" i="1" s="1"/>
  <c r="M20" i="1"/>
  <c r="O19" i="1"/>
  <c r="P19" i="1" s="1"/>
  <c r="N19" i="1"/>
  <c r="M21" i="1" l="1"/>
  <c r="N20" i="1"/>
  <c r="O20" i="1"/>
  <c r="P20" i="1" s="1"/>
  <c r="Q19" i="1"/>
  <c r="R19" i="1"/>
  <c r="S19" i="1" l="1"/>
  <c r="T19" i="1" s="1"/>
  <c r="Q20" i="1"/>
  <c r="R20" i="1"/>
  <c r="M22" i="1"/>
  <c r="N21" i="1"/>
  <c r="O21" i="1"/>
  <c r="P21" i="1" s="1"/>
  <c r="S20" i="1" l="1"/>
  <c r="T20" i="1" s="1"/>
  <c r="M23" i="1"/>
  <c r="N22" i="1"/>
  <c r="O22" i="1"/>
  <c r="P22" i="1" s="1"/>
  <c r="Q21" i="1"/>
  <c r="R21" i="1"/>
  <c r="Q22" i="1" l="1"/>
  <c r="R22" i="1"/>
  <c r="S21" i="1"/>
  <c r="T21" i="1" s="1"/>
  <c r="M24" i="1"/>
  <c r="O23" i="1"/>
  <c r="P23" i="1" s="1"/>
  <c r="N23" i="1"/>
  <c r="S22" i="1" l="1"/>
  <c r="T22" i="1" s="1"/>
  <c r="M25" i="1"/>
  <c r="O24" i="1"/>
  <c r="P24" i="1" s="1"/>
  <c r="N24" i="1"/>
  <c r="R23" i="1"/>
  <c r="Q23" i="1"/>
  <c r="Q24" i="1" l="1"/>
  <c r="R24" i="1"/>
  <c r="S24" i="1" s="1"/>
  <c r="T24" i="1" s="1"/>
  <c r="S23" i="1"/>
  <c r="T23" i="1" s="1"/>
  <c r="N25" i="1"/>
  <c r="O25" i="1"/>
  <c r="P25" i="1" s="1"/>
  <c r="R25" i="1" l="1"/>
  <c r="Q25" i="1"/>
  <c r="M26" i="1"/>
  <c r="O26" i="1" s="1"/>
  <c r="M27" i="1"/>
  <c r="M28" i="1" s="1"/>
  <c r="M29" i="1" s="1"/>
  <c r="N29" i="1" l="1"/>
  <c r="M30" i="1"/>
  <c r="O29" i="1"/>
  <c r="P29" i="1" s="1"/>
  <c r="S25" i="1"/>
  <c r="T25" i="1" s="1"/>
  <c r="N27" i="1"/>
  <c r="N28" i="1"/>
  <c r="O28" i="1"/>
  <c r="P28" i="1" s="1"/>
  <c r="P26" i="1"/>
  <c r="O27" i="1"/>
  <c r="P27" i="1" s="1"/>
  <c r="N26" i="1"/>
  <c r="R29" i="1" l="1"/>
  <c r="Q29" i="1"/>
  <c r="S29" i="1" s="1"/>
  <c r="T29" i="1" s="1"/>
  <c r="O30" i="1"/>
  <c r="P30" i="1" s="1"/>
  <c r="N30" i="1"/>
  <c r="M31" i="1"/>
  <c r="R26" i="1"/>
  <c r="Q26" i="1"/>
  <c r="S26" i="1" s="1"/>
  <c r="T26" i="1" s="1"/>
  <c r="R28" i="1"/>
  <c r="Q28" i="1"/>
  <c r="Q27" i="1"/>
  <c r="R27" i="1"/>
  <c r="S27" i="1" s="1"/>
  <c r="T27" i="1" s="1"/>
  <c r="Q30" i="1" l="1"/>
  <c r="R30" i="1"/>
  <c r="O31" i="1"/>
  <c r="P31" i="1" s="1"/>
  <c r="N31" i="1"/>
  <c r="M32" i="1"/>
  <c r="S28" i="1"/>
  <c r="T28" i="1" s="1"/>
  <c r="Q31" i="1" l="1"/>
  <c r="R31" i="1"/>
  <c r="O32" i="1"/>
  <c r="P32" i="1" s="1"/>
  <c r="N32" i="1"/>
  <c r="M33" i="1"/>
  <c r="S30" i="1"/>
  <c r="T30" i="1" s="1"/>
  <c r="Q32" i="1" l="1"/>
  <c r="R32" i="1"/>
  <c r="O33" i="1"/>
  <c r="M34" i="1"/>
  <c r="N33" i="1"/>
  <c r="P33" i="1"/>
  <c r="S31" i="1"/>
  <c r="T31" i="1" s="1"/>
  <c r="O34" i="1" l="1"/>
  <c r="N34" i="1"/>
  <c r="M35" i="1"/>
  <c r="P34" i="1"/>
  <c r="Q33" i="1"/>
  <c r="R33" i="1"/>
  <c r="S32" i="1"/>
  <c r="T32" i="1" s="1"/>
  <c r="O35" i="1" l="1"/>
  <c r="N35" i="1"/>
  <c r="M36" i="1"/>
  <c r="P35" i="1"/>
  <c r="Q34" i="1"/>
  <c r="R34" i="1"/>
  <c r="S33" i="1"/>
  <c r="T33" i="1" s="1"/>
  <c r="O36" i="1" l="1"/>
  <c r="N36" i="1"/>
  <c r="M37" i="1"/>
  <c r="P36" i="1"/>
  <c r="Q35" i="1"/>
  <c r="R35" i="1"/>
  <c r="S34" i="1"/>
  <c r="T34" i="1" s="1"/>
  <c r="O37" i="1" l="1"/>
  <c r="N37" i="1"/>
  <c r="M38" i="1"/>
  <c r="P37" i="1"/>
  <c r="Q36" i="1"/>
  <c r="S36" i="1" s="1"/>
  <c r="T36" i="1" s="1"/>
  <c r="R36" i="1"/>
  <c r="S35" i="1"/>
  <c r="T35" i="1" s="1"/>
  <c r="Q37" i="1" l="1"/>
  <c r="R37" i="1"/>
  <c r="O38" i="1"/>
  <c r="P38" i="1" s="1"/>
  <c r="N38" i="1"/>
  <c r="Q38" i="1" l="1"/>
  <c r="S38" i="1" s="1"/>
  <c r="T38" i="1" s="1"/>
  <c r="R38" i="1"/>
  <c r="S37" i="1"/>
  <c r="T37" i="1" s="1"/>
</calcChain>
</file>

<file path=xl/sharedStrings.xml><?xml version="1.0" encoding="utf-8"?>
<sst xmlns="http://schemas.openxmlformats.org/spreadsheetml/2006/main" count="236" uniqueCount="140">
  <si>
    <t xml:space="preserve">até </t>
  </si>
  <si>
    <t>Tabela IRRF</t>
  </si>
  <si>
    <t>acima</t>
  </si>
  <si>
    <t>TETO</t>
  </si>
  <si>
    <t>Base Calculo</t>
  </si>
  <si>
    <t>INSS</t>
  </si>
  <si>
    <t>y</t>
  </si>
  <si>
    <t>k</t>
  </si>
  <si>
    <t>Imposto</t>
  </si>
  <si>
    <t>IRRF</t>
  </si>
  <si>
    <t>ISS</t>
  </si>
  <si>
    <t>IRPJ</t>
  </si>
  <si>
    <t>CSLL</t>
  </si>
  <si>
    <t>PIS</t>
  </si>
  <si>
    <t>COFINS</t>
  </si>
  <si>
    <t>Simples Nacional</t>
  </si>
  <si>
    <t>Tabela de Impostos PJ - Pessoa Juridica Presumido, Pessoa Juridica Simples Nacional, PF - Pessoa Fisica CLT, PF - Pessoa Fisica Autonomo</t>
  </si>
  <si>
    <t>Pessoa Juridica</t>
  </si>
  <si>
    <t>Presumido</t>
  </si>
  <si>
    <t>Pessoa Fisica</t>
  </si>
  <si>
    <t>CLT</t>
  </si>
  <si>
    <t>Autonomo</t>
  </si>
  <si>
    <t>*</t>
  </si>
  <si>
    <t>Parcela a Deduzir (R$)</t>
  </si>
  <si>
    <t>Alíquota</t>
  </si>
  <si>
    <t>Tabela INSS - Salário de Contribuição da Previdência Social</t>
  </si>
  <si>
    <t>Aliquota</t>
  </si>
  <si>
    <t>z</t>
  </si>
  <si>
    <t>Dedução</t>
  </si>
  <si>
    <t>Valor</t>
  </si>
  <si>
    <t>Salario Bruto</t>
  </si>
  <si>
    <t>Liquido</t>
  </si>
  <si>
    <t>kkk</t>
  </si>
  <si>
    <t>Coluna1</t>
  </si>
  <si>
    <t>Coluna2</t>
  </si>
  <si>
    <t>Coluna3</t>
  </si>
  <si>
    <t>Coluna4</t>
  </si>
  <si>
    <t>Coluna5</t>
  </si>
  <si>
    <t>Tabela</t>
  </si>
  <si>
    <t>Salário-Familia</t>
  </si>
  <si>
    <t>https://impostoderenda2019.net.br/tabela-irrf-2019/</t>
  </si>
  <si>
    <t>BCMIN</t>
  </si>
  <si>
    <t>BCMAX</t>
  </si>
  <si>
    <t>VALOR</t>
  </si>
  <si>
    <t>ALÍQUOTA</t>
  </si>
  <si>
    <t>DEDUÇÃO</t>
  </si>
  <si>
    <t xml:space="preserve">*Valor por FILHO </t>
  </si>
  <si>
    <t>Código</t>
  </si>
  <si>
    <t>Descrição</t>
  </si>
  <si>
    <t>TI</t>
  </si>
  <si>
    <t>Tecnologia da Informação</t>
  </si>
  <si>
    <t>CR</t>
  </si>
  <si>
    <t>Contas a Receber</t>
  </si>
  <si>
    <t>CP</t>
  </si>
  <si>
    <t>Contas a Pagar</t>
  </si>
  <si>
    <t>DR</t>
  </si>
  <si>
    <t>Diretoria</t>
  </si>
  <si>
    <t>MATRÍCULA</t>
  </si>
  <si>
    <t>NOME</t>
  </si>
  <si>
    <t>SITUAÇÃO</t>
  </si>
  <si>
    <t>ATIVO</t>
  </si>
  <si>
    <t>LUIZ FERNANDO MARTINS MAYER</t>
  </si>
  <si>
    <t>DTNASC</t>
  </si>
  <si>
    <t>NILVA DE SOUZA</t>
  </si>
  <si>
    <t>CÓDIGO</t>
  </si>
  <si>
    <t>1110.1</t>
  </si>
  <si>
    <t>EDUARDO DUARTE MAYER</t>
  </si>
  <si>
    <t>JULIA CORREA MAYER</t>
  </si>
  <si>
    <t>1110.2</t>
  </si>
  <si>
    <t>SEQ</t>
  </si>
  <si>
    <t>XS</t>
  </si>
  <si>
    <t>Xs Teste</t>
  </si>
  <si>
    <t>SALARIO BASE</t>
  </si>
  <si>
    <t>BASE</t>
  </si>
  <si>
    <t>SALÁRIO</t>
  </si>
  <si>
    <t>HORAS EXTRAS</t>
  </si>
  <si>
    <t>ADICIONAL NORTUNO</t>
  </si>
  <si>
    <t>BÔNUS</t>
  </si>
  <si>
    <t>GRATIFICAÇÃO</t>
  </si>
  <si>
    <t>1.) 25 dias úteis, 4 domingos, 1 feriado.</t>
  </si>
  <si>
    <t>DSR - Descanso Semanal Remunerado</t>
  </si>
  <si>
    <t xml:space="preserve">Mensalista - 220 h/30 dias = 7,33 </t>
  </si>
  <si>
    <t>1.) 4 domingos, 1 feriado</t>
  </si>
  <si>
    <t>Horista</t>
  </si>
  <si>
    <t>Dias úteis</t>
  </si>
  <si>
    <t>Domingos</t>
  </si>
  <si>
    <t>Feriados</t>
  </si>
  <si>
    <t>Tabela Prática</t>
  </si>
  <si>
    <t>Modalidade</t>
  </si>
  <si>
    <t>Número de Dias do Mês</t>
  </si>
  <si>
    <t>Carga Horário Mensal</t>
  </si>
  <si>
    <t>Mensalista</t>
  </si>
  <si>
    <t xml:space="preserve">28,29,30 ou 31 </t>
  </si>
  <si>
    <t>Se o feriado cai no domingo não contabiliza</t>
  </si>
  <si>
    <t>dias úteis</t>
  </si>
  <si>
    <t>dias não uteis</t>
  </si>
  <si>
    <t>valor</t>
  </si>
  <si>
    <t>Matrícula</t>
  </si>
  <si>
    <t>Nome</t>
  </si>
  <si>
    <t>Luiz Fernando Martins Mayer</t>
  </si>
  <si>
    <t>Tipo</t>
  </si>
  <si>
    <t>Data Ref</t>
  </si>
  <si>
    <t>Dias Úteis</t>
  </si>
  <si>
    <t>Dias Não Úteis</t>
  </si>
  <si>
    <t>Sal.Base</t>
  </si>
  <si>
    <t>Valor Hora</t>
  </si>
  <si>
    <t>Tipo Funcionário</t>
  </si>
  <si>
    <t>HE</t>
  </si>
  <si>
    <t>%</t>
  </si>
  <si>
    <t>Qtde</t>
  </si>
  <si>
    <t>Total HE</t>
  </si>
  <si>
    <t>DSR/HE</t>
  </si>
  <si>
    <t>Comissões</t>
  </si>
  <si>
    <t>DSR/Comissões</t>
  </si>
  <si>
    <t>Horas Extras</t>
  </si>
  <si>
    <t>Adicional Insalubridade</t>
  </si>
  <si>
    <t>AI/Salario Base</t>
  </si>
  <si>
    <t>AI/HE</t>
  </si>
  <si>
    <t>Adicional Periculosidade</t>
  </si>
  <si>
    <t>AP/Salario Base</t>
  </si>
  <si>
    <t>AP/HE</t>
  </si>
  <si>
    <t>Adicional Noturno</t>
  </si>
  <si>
    <t>?????</t>
  </si>
  <si>
    <t>Qtde Horas</t>
  </si>
  <si>
    <t>https://posocco.jusbrasil.com.br/noticias/410516176/aprenda-a-calcular-adicional-noturno</t>
  </si>
  <si>
    <t>AN/Salario Base</t>
  </si>
  <si>
    <t>AN/HE</t>
  </si>
  <si>
    <t>https://www.voitto.com.br/blog/artigo/folha-de-pagamento-no-excel</t>
  </si>
  <si>
    <t>https://www.contabeis.com.br/artigos/2058/principais-proventos-e-descontos-incidentes-sobre-a-folha-de-pagamento/</t>
  </si>
  <si>
    <t xml:space="preserve">backup 1 </t>
  </si>
  <si>
    <t>https://www.xerpa.com.br/blog/sistema-folha-de-pagamento-online/</t>
  </si>
  <si>
    <t>%Adicional Noturno</t>
  </si>
  <si>
    <t>Fator Multipl.</t>
  </si>
  <si>
    <t>Qtde Horas Trabalhadas</t>
  </si>
  <si>
    <t>Qtde Horas A Receber</t>
  </si>
  <si>
    <t>Sim/Não</t>
  </si>
  <si>
    <t>SIM</t>
  </si>
  <si>
    <t>NÃO</t>
  </si>
  <si>
    <t>Valor a Receber</t>
  </si>
  <si>
    <t>Base Cálculo 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</si>
</sst>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R$&quot;* #,##0.00_-;\-&quot;R$&quot;* #,##0.00_-;_-&quot;R$&quot;* &quot;-&quot;??_-;_-@_-"/>
    <numFmt numFmtId="164" formatCode="0.0000"/>
    <numFmt numFmtId="165" formatCode="#,##0.0000"/>
    <numFmt numFmtId="166" formatCode="#,##0.00_ ;\-#,##0.00\ 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Arial"/>
      <family val="2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983BB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3" fillId="0" borderId="0" xfId="1"/>
    <xf numFmtId="4" fontId="0" fillId="0" borderId="0" xfId="0" applyNumberFormat="1"/>
    <xf numFmtId="10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/>
    <xf numFmtId="44" fontId="0" fillId="0" borderId="1" xfId="0" applyNumberFormat="1" applyBorder="1"/>
    <xf numFmtId="0" fontId="0" fillId="0" borderId="1" xfId="0" applyBorder="1"/>
    <xf numFmtId="10" fontId="0" fillId="0" borderId="1" xfId="0" applyNumberFormat="1" applyBorder="1"/>
    <xf numFmtId="44" fontId="0" fillId="0" borderId="2" xfId="0" applyNumberFormat="1" applyBorder="1"/>
    <xf numFmtId="0" fontId="0" fillId="0" borderId="2" xfId="0" applyBorder="1"/>
    <xf numFmtId="10" fontId="0" fillId="0" borderId="2" xfId="0" applyNumberFormat="1" applyBorder="1"/>
    <xf numFmtId="0" fontId="0" fillId="0" borderId="0" xfId="0" applyAlignment="1">
      <alignment horizontal="right"/>
    </xf>
    <xf numFmtId="44" fontId="0" fillId="2" borderId="3" xfId="0" applyNumberFormat="1" applyFill="1" applyBorder="1"/>
    <xf numFmtId="0" fontId="0" fillId="2" borderId="3" xfId="0" applyFill="1" applyBorder="1"/>
    <xf numFmtId="10" fontId="0" fillId="2" borderId="3" xfId="0" applyNumberFormat="1" applyFill="1" applyBorder="1"/>
    <xf numFmtId="0" fontId="0" fillId="2" borderId="0" xfId="0" applyFill="1"/>
    <xf numFmtId="164" fontId="0" fillId="2" borderId="0" xfId="0" applyNumberFormat="1" applyFill="1"/>
    <xf numFmtId="0" fontId="1" fillId="3" borderId="2" xfId="0" applyFont="1" applyFill="1" applyBorder="1"/>
    <xf numFmtId="0" fontId="1" fillId="3" borderId="2" xfId="0" applyFont="1" applyFill="1" applyBorder="1" applyAlignment="1">
      <alignment horizontal="right"/>
    </xf>
    <xf numFmtId="0" fontId="2" fillId="2" borderId="0" xfId="0" applyFont="1" applyFill="1" applyAlignment="1">
      <alignment horizontal="right"/>
    </xf>
    <xf numFmtId="165" fontId="0" fillId="0" borderId="0" xfId="0" applyNumberFormat="1"/>
    <xf numFmtId="4" fontId="0" fillId="4" borderId="0" xfId="0" applyNumberFormat="1" applyFill="1"/>
    <xf numFmtId="10" fontId="0" fillId="4" borderId="0" xfId="0" applyNumberFormat="1" applyFill="1"/>
    <xf numFmtId="165" fontId="0" fillId="4" borderId="0" xfId="0" applyNumberFormat="1" applyFill="1"/>
    <xf numFmtId="14" fontId="0" fillId="0" borderId="0" xfId="0" applyNumberFormat="1"/>
    <xf numFmtId="44" fontId="0" fillId="0" borderId="0" xfId="0" applyNumberFormat="1" applyFont="1"/>
    <xf numFmtId="10" fontId="0" fillId="0" borderId="0" xfId="0" applyNumberFormat="1" applyFont="1"/>
    <xf numFmtId="16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9" fontId="0" fillId="0" borderId="0" xfId="0" applyNumberFormat="1"/>
    <xf numFmtId="166" fontId="0" fillId="0" borderId="0" xfId="0" applyNumberFormat="1"/>
    <xf numFmtId="166" fontId="0" fillId="0" borderId="0" xfId="0" applyNumberFormat="1" applyFont="1"/>
    <xf numFmtId="4" fontId="0" fillId="0" borderId="0" xfId="0" applyNumberFormat="1" applyFont="1"/>
    <xf numFmtId="4" fontId="0" fillId="5" borderId="0" xfId="0" applyNumberFormat="1" applyFill="1"/>
    <xf numFmtId="0" fontId="0" fillId="5" borderId="0" xfId="0" applyFill="1"/>
    <xf numFmtId="9" fontId="0" fillId="5" borderId="0" xfId="0" applyNumberFormat="1" applyFill="1"/>
    <xf numFmtId="165" fontId="0" fillId="6" borderId="0" xfId="0" applyNumberFormat="1" applyFill="1"/>
    <xf numFmtId="165" fontId="0" fillId="6" borderId="0" xfId="0" applyNumberFormat="1" applyFill="1" applyProtection="1"/>
    <xf numFmtId="0" fontId="2" fillId="8" borderId="0" xfId="0" applyFont="1" applyFill="1" applyAlignment="1">
      <alignment horizontal="center"/>
    </xf>
    <xf numFmtId="0" fontId="5" fillId="0" borderId="0" xfId="0" applyFont="1"/>
    <xf numFmtId="4" fontId="0" fillId="0" borderId="0" xfId="0" applyNumberFormat="1" applyAlignment="1">
      <alignment horizontal="right"/>
    </xf>
    <xf numFmtId="0" fontId="4" fillId="7" borderId="4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22">
    <dxf>
      <font>
        <i/>
      </font>
    </dxf>
    <dxf>
      <font>
        <i/>
      </font>
    </dxf>
    <dxf>
      <numFmt numFmtId="166" formatCode="#,##0.00_ ;\-#,##0.00\ "/>
    </dxf>
    <dxf>
      <numFmt numFmtId="14" formatCode="0.00%"/>
    </dxf>
    <dxf>
      <numFmt numFmtId="166" formatCode="#,##0.00_ ;\-#,##0.00\ "/>
    </dxf>
    <dxf>
      <numFmt numFmtId="4" formatCode="#,##0.0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#,##0.0000"/>
    </dxf>
    <dxf>
      <numFmt numFmtId="165" formatCode="#,##0.0000"/>
    </dxf>
    <dxf>
      <numFmt numFmtId="165" formatCode="#,##0.0000"/>
    </dxf>
    <dxf>
      <numFmt numFmtId="14" formatCode="0.00%"/>
    </dxf>
    <dxf>
      <numFmt numFmtId="165" formatCode="#,##0.0000"/>
    </dxf>
    <dxf>
      <numFmt numFmtId="165" formatCode="#,##0.0000"/>
    </dxf>
    <dxf>
      <numFmt numFmtId="14" formatCode="0.00%"/>
    </dxf>
    <dxf>
      <numFmt numFmtId="4" formatCode="#,##0.0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21</xdr:row>
      <xdr:rowOff>0</xdr:rowOff>
    </xdr:from>
    <xdr:to>
      <xdr:col>14</xdr:col>
      <xdr:colOff>504825</xdr:colOff>
      <xdr:row>22</xdr:row>
      <xdr:rowOff>47625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2350" y="3810000"/>
          <a:ext cx="41624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M1:T38" totalsRowShown="0" headerRowDxfId="21">
  <autoFilter ref="M1:T38"/>
  <tableColumns count="8">
    <tableColumn id="1" name="Coluna1" dataDxfId="20">
      <calculatedColumnFormula>M1+250</calculatedColumnFormula>
    </tableColumn>
    <tableColumn id="2" name="INSS" dataDxfId="19">
      <calculatedColumnFormula>IF(L2&gt;$D$5,$F$6,VLOOKUP(M2,$B$3:$F$5,5,1))</calculatedColumnFormula>
    </tableColumn>
    <tableColumn id="3" name="Coluna2" dataDxfId="18">
      <calculatedColumnFormula>IF(M2&gt;$D$5,$F$6,M2*VLOOKUP(M2,$B$3:$F$5,5,1))</calculatedColumnFormula>
    </tableColumn>
    <tableColumn id="4" name="Base Calculo" dataDxfId="17">
      <calculatedColumnFormula>M2-O2</calculatedColumnFormula>
    </tableColumn>
    <tableColumn id="5" name="IRRF" dataDxfId="16">
      <calculatedColumnFormula>IF(P2&gt;=$D$13,$F$13,VLOOKUP(P2,$B$9:$G$12,5,1))</calculatedColumnFormula>
    </tableColumn>
    <tableColumn id="6" name="Coluna3" dataDxfId="15">
      <calculatedColumnFormula>IF(P2&gt;=$D$13,$G$13,VLOOKUP(P2,$B$9:$G$12,6,1))</calculatedColumnFormula>
    </tableColumn>
    <tableColumn id="7" name="Coluna4" dataDxfId="14">
      <calculatedColumnFormula>(P2*Q2)-R2</calculatedColumnFormula>
    </tableColumn>
    <tableColumn id="8" name="Coluna5" dataDxfId="13">
      <calculatedColumnFormula>P2-S2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SALFAMILIA" displayName="TABSALFAMILIA" ref="A3:C5" totalsRowShown="0" dataDxfId="12">
  <autoFilter ref="A3:C5"/>
  <tableColumns count="3">
    <tableColumn id="1" name="BCMIN" dataDxfId="11"/>
    <tableColumn id="2" name="BCMAX" dataDxfId="10"/>
    <tableColumn id="3" name="VALOR" dataDxfId="9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8" name="TABINSS" displayName="TABINSS" ref="A8:D11" totalsRowShown="0">
  <autoFilter ref="A8:D11"/>
  <tableColumns count="4">
    <tableColumn id="1" name="BCMIN" dataDxfId="8"/>
    <tableColumn id="2" name="BCMAX" dataDxfId="7"/>
    <tableColumn id="3" name="ALÍQUOTA" dataDxfId="6"/>
    <tableColumn id="4" name="TETO" dataDxfId="5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9" name="TABIRRF" displayName="TABIRRF" ref="A14:D19" totalsRowShown="0">
  <autoFilter ref="A14:D19"/>
  <tableColumns count="4">
    <tableColumn id="1" name="BCMIN" dataDxfId="4"/>
    <tableColumn id="2" name="BCMAX"/>
    <tableColumn id="3" name="ALÍQUOTA" dataDxfId="3"/>
    <tableColumn id="4" name="DEDUÇÃO" dataDxfId="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22" name="TabTipoFunc" displayName="TabTipoFunc" ref="G3:G6" totalsRowShown="0">
  <autoFilter ref="G3:G6"/>
  <tableColumns count="1">
    <tableColumn id="1" name="Tip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4" name="TabSimNao" displayName="TabSimNao" ref="K3:K5" totalsRowShown="0" dataDxfId="1">
  <autoFilter ref="K3:K5"/>
  <tableColumns count="1">
    <tableColumn id="1" name="Tipo" dataDxfId="0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0" name="TABDEPTO" displayName="TABDEPTO" ref="A1:B6" totalsRowShown="0">
  <autoFilter ref="A1:B6"/>
  <tableColumns count="2">
    <tableColumn id="1" name="Código"/>
    <tableColumn id="2" name="Descrição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xerpa.com.br/blog/sistema-folha-de-pagamento-online/" TargetMode="External"/><Relationship Id="rId1" Type="http://schemas.openxmlformats.org/officeDocument/2006/relationships/hyperlink" Target="https://posocco.jusbrasil.com.br/noticias/410516176/aprenda-a-calcular-adicional-noturno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osocco.jusbrasil.com.br/noticias/410516176/aprenda-a-calcular-adicional-noturn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posocco.jusbrasil.com.br/noticias/410516176/aprenda-a-calcular-adicional-noturno" TargetMode="External"/><Relationship Id="rId2" Type="http://schemas.openxmlformats.org/officeDocument/2006/relationships/hyperlink" Target="https://www.contabeis.com.br/artigos/2058/principais-proventos-e-descontos-incidentes-sobre-a-folha-de-pagamento/" TargetMode="External"/><Relationship Id="rId1" Type="http://schemas.openxmlformats.org/officeDocument/2006/relationships/hyperlink" Target="https://www.voitto.com.br/blog/artigo/folha-de-pagamento-no-exce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hyperlink" Target="https://impostoderenda2019.net.br/tabela-irrf-2019/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41"/>
  <sheetViews>
    <sheetView tabSelected="1" zoomScale="120" zoomScaleNormal="120" workbookViewId="0">
      <selection activeCell="E1" sqref="E1"/>
    </sheetView>
  </sheetViews>
  <sheetFormatPr defaultRowHeight="15" x14ac:dyDescent="0.25"/>
  <cols>
    <col min="1" max="1" width="26.28515625" bestFit="1" customWidth="1"/>
    <col min="2" max="2" width="27" bestFit="1" customWidth="1"/>
    <col min="4" max="4" width="11" bestFit="1" customWidth="1"/>
    <col min="5" max="5" width="13.28515625" bestFit="1" customWidth="1"/>
  </cols>
  <sheetData>
    <row r="2" spans="1:12" x14ac:dyDescent="0.25">
      <c r="A2" t="s">
        <v>97</v>
      </c>
      <c r="B2">
        <v>1110</v>
      </c>
      <c r="E2">
        <v>10800</v>
      </c>
      <c r="F2">
        <f>E2/168</f>
        <v>64.285714285714292</v>
      </c>
    </row>
    <row r="3" spans="1:12" x14ac:dyDescent="0.25">
      <c r="A3" t="s">
        <v>98</v>
      </c>
      <c r="B3" t="s">
        <v>99</v>
      </c>
    </row>
    <row r="4" spans="1:12" x14ac:dyDescent="0.25">
      <c r="A4" t="s">
        <v>100</v>
      </c>
      <c r="B4" t="s">
        <v>91</v>
      </c>
      <c r="H4">
        <v>12.45</v>
      </c>
      <c r="J4" s="1" t="s">
        <v>130</v>
      </c>
    </row>
    <row r="5" spans="1:12" x14ac:dyDescent="0.25">
      <c r="A5" t="s">
        <v>104</v>
      </c>
      <c r="B5" s="38">
        <v>783.52</v>
      </c>
    </row>
    <row r="6" spans="1:12" x14ac:dyDescent="0.25">
      <c r="J6">
        <v>900</v>
      </c>
    </row>
    <row r="7" spans="1:12" x14ac:dyDescent="0.25">
      <c r="A7" t="s">
        <v>101</v>
      </c>
      <c r="B7" s="27">
        <v>43556</v>
      </c>
      <c r="J7">
        <f>J6*20%</f>
        <v>180</v>
      </c>
    </row>
    <row r="8" spans="1:12" x14ac:dyDescent="0.25">
      <c r="A8" t="s">
        <v>102</v>
      </c>
      <c r="B8" s="39">
        <v>24</v>
      </c>
    </row>
    <row r="9" spans="1:12" x14ac:dyDescent="0.25">
      <c r="A9" t="s">
        <v>103</v>
      </c>
      <c r="B9" s="39">
        <v>6</v>
      </c>
    </row>
    <row r="10" spans="1:12" x14ac:dyDescent="0.25">
      <c r="A10" t="s">
        <v>105</v>
      </c>
      <c r="B10" s="41">
        <f>IF(B4="Mensalista",B5/220,B5)</f>
        <v>3.5614545454545454</v>
      </c>
    </row>
    <row r="11" spans="1:12" s="33" customFormat="1" x14ac:dyDescent="0.25">
      <c r="B11" s="26"/>
    </row>
    <row r="12" spans="1:12" s="33" customFormat="1" x14ac:dyDescent="0.25">
      <c r="A12" s="43" t="s">
        <v>121</v>
      </c>
      <c r="B12" s="43" t="s">
        <v>136</v>
      </c>
      <c r="J12" s="33">
        <v>100.5</v>
      </c>
      <c r="K12" s="33">
        <v>1.1429</v>
      </c>
      <c r="L12" s="33">
        <f>J12*K12</f>
        <v>114.86145</v>
      </c>
    </row>
    <row r="13" spans="1:12" s="33" customFormat="1" x14ac:dyDescent="0.25">
      <c r="A13" s="33" t="s">
        <v>131</v>
      </c>
      <c r="B13" s="3">
        <v>0.2</v>
      </c>
    </row>
    <row r="14" spans="1:12" s="33" customFormat="1" x14ac:dyDescent="0.25">
      <c r="A14" s="33" t="s">
        <v>132</v>
      </c>
      <c r="B14" s="23">
        <v>1.1429</v>
      </c>
    </row>
    <row r="15" spans="1:12" s="33" customFormat="1" x14ac:dyDescent="0.25">
      <c r="A15" s="33" t="s">
        <v>133</v>
      </c>
      <c r="B15" s="2">
        <v>201.27</v>
      </c>
    </row>
    <row r="16" spans="1:12" s="33" customFormat="1" x14ac:dyDescent="0.25">
      <c r="A16" s="33" t="s">
        <v>134</v>
      </c>
      <c r="B16" s="2">
        <v>230.15</v>
      </c>
      <c r="C16" s="45" t="str">
        <f>TEXT(INT(B16),"####") &amp; "h " &amp; MID(ROUND((INT(B16)-B16)/100*60,2),SEARCH(",",ROUND((INT(B16)-B16)/100*60,2),1)+1,2) &amp; "'"</f>
        <v>230h 09'</v>
      </c>
      <c r="D16" s="2"/>
      <c r="F16" s="2"/>
      <c r="H16"/>
    </row>
    <row r="17" spans="1:12" s="33" customFormat="1" x14ac:dyDescent="0.25">
      <c r="A17" s="33" t="s">
        <v>105</v>
      </c>
      <c r="B17" s="23">
        <f>B10*(B13)</f>
        <v>0.71229090909090909</v>
      </c>
    </row>
    <row r="18" spans="1:12" s="33" customFormat="1" x14ac:dyDescent="0.25">
      <c r="A18" s="33" t="s">
        <v>138</v>
      </c>
      <c r="B18" s="23">
        <f>B17*B16</f>
        <v>163.93375272727272</v>
      </c>
    </row>
    <row r="19" spans="1:12" s="33" customFormat="1" x14ac:dyDescent="0.25">
      <c r="B19" s="2"/>
    </row>
    <row r="20" spans="1:12" x14ac:dyDescent="0.25">
      <c r="A20" t="s">
        <v>114</v>
      </c>
      <c r="C20" t="s">
        <v>108</v>
      </c>
      <c r="D20" t="s">
        <v>109</v>
      </c>
      <c r="E20" t="s">
        <v>29</v>
      </c>
      <c r="I20" s="46" t="s">
        <v>139</v>
      </c>
      <c r="J20" s="47"/>
      <c r="K20" s="47"/>
      <c r="L20" s="47"/>
    </row>
    <row r="21" spans="1:12" x14ac:dyDescent="0.25">
      <c r="A21" t="s">
        <v>107</v>
      </c>
      <c r="B21" s="42">
        <f>D21*E21</f>
        <v>0</v>
      </c>
      <c r="C21" s="40">
        <v>0.25</v>
      </c>
      <c r="D21" s="38">
        <v>0</v>
      </c>
      <c r="E21" s="41">
        <f>$B$10*(1+C21)</f>
        <v>4.4518181818181821</v>
      </c>
    </row>
    <row r="22" spans="1:12" x14ac:dyDescent="0.25">
      <c r="A22" s="33" t="s">
        <v>107</v>
      </c>
      <c r="B22" s="42">
        <f>D22*E22</f>
        <v>145.30734545454544</v>
      </c>
      <c r="C22" s="40">
        <v>0.6</v>
      </c>
      <c r="D22" s="38">
        <v>25.5</v>
      </c>
      <c r="E22" s="41">
        <f>$B$10*(1+C22)</f>
        <v>5.6983272727272727</v>
      </c>
    </row>
    <row r="23" spans="1:12" x14ac:dyDescent="0.25">
      <c r="A23" s="33" t="s">
        <v>107</v>
      </c>
      <c r="B23" s="42">
        <f>D23*E23</f>
        <v>0</v>
      </c>
      <c r="C23" s="40">
        <v>0.75</v>
      </c>
      <c r="D23" s="38">
        <v>0</v>
      </c>
      <c r="E23" s="41">
        <f>$B$10*(1+C23)</f>
        <v>6.2325454545454546</v>
      </c>
    </row>
    <row r="24" spans="1:12" x14ac:dyDescent="0.25">
      <c r="A24" s="33" t="s">
        <v>107</v>
      </c>
      <c r="B24" s="42">
        <f>D24*E24</f>
        <v>0</v>
      </c>
      <c r="C24" s="40">
        <v>1</v>
      </c>
      <c r="D24" s="38">
        <v>0</v>
      </c>
      <c r="E24" s="41">
        <f>$B$10*(1+C24)</f>
        <v>7.1229090909090909</v>
      </c>
    </row>
    <row r="25" spans="1:12" x14ac:dyDescent="0.25">
      <c r="A25" s="33" t="s">
        <v>110</v>
      </c>
      <c r="B25" s="42">
        <f>SUM(B21:B24)</f>
        <v>145.30734545454544</v>
      </c>
      <c r="C25" s="34"/>
    </row>
    <row r="26" spans="1:12" x14ac:dyDescent="0.25">
      <c r="A26" s="33" t="s">
        <v>111</v>
      </c>
      <c r="B26" s="42">
        <f>(B25/B8)*B9</f>
        <v>36.32683636363636</v>
      </c>
      <c r="C26" s="33"/>
    </row>
    <row r="27" spans="1:12" x14ac:dyDescent="0.25">
      <c r="A27" s="33"/>
      <c r="B27" s="33"/>
      <c r="C27" s="34"/>
    </row>
    <row r="28" spans="1:12" x14ac:dyDescent="0.25">
      <c r="A28" s="33" t="s">
        <v>112</v>
      </c>
      <c r="B28" s="38">
        <v>1340</v>
      </c>
      <c r="C28" s="33"/>
    </row>
    <row r="29" spans="1:12" x14ac:dyDescent="0.25">
      <c r="A29" t="s">
        <v>113</v>
      </c>
      <c r="B29" s="41">
        <f>(B28/B8)*B9</f>
        <v>335</v>
      </c>
    </row>
    <row r="31" spans="1:12" x14ac:dyDescent="0.25">
      <c r="A31" t="s">
        <v>115</v>
      </c>
    </row>
    <row r="32" spans="1:12" x14ac:dyDescent="0.25">
      <c r="A32" t="s">
        <v>116</v>
      </c>
      <c r="B32" s="30">
        <f>B5*C32</f>
        <v>195.88</v>
      </c>
      <c r="C32" s="34">
        <v>0.25</v>
      </c>
      <c r="E32" s="30">
        <f>B5+B32</f>
        <v>979.4</v>
      </c>
    </row>
    <row r="33" spans="1:7" x14ac:dyDescent="0.25">
      <c r="A33" t="s">
        <v>117</v>
      </c>
      <c r="B33" s="30">
        <f>B25*C33</f>
        <v>0</v>
      </c>
      <c r="C33" s="34">
        <v>0</v>
      </c>
      <c r="E33" s="30">
        <f>B25+B33</f>
        <v>145.30734545454544</v>
      </c>
    </row>
    <row r="35" spans="1:7" x14ac:dyDescent="0.25">
      <c r="A35" s="33" t="s">
        <v>118</v>
      </c>
      <c r="B35" s="33"/>
      <c r="C35" s="33"/>
      <c r="D35" s="33"/>
      <c r="E35" s="33"/>
    </row>
    <row r="36" spans="1:7" x14ac:dyDescent="0.25">
      <c r="A36" s="33" t="s">
        <v>119</v>
      </c>
      <c r="B36" s="30">
        <f>B5*C36</f>
        <v>195.88</v>
      </c>
      <c r="C36" s="34">
        <v>0.25</v>
      </c>
      <c r="D36" s="33"/>
      <c r="E36" s="30">
        <f>B5+B36</f>
        <v>979.4</v>
      </c>
    </row>
    <row r="37" spans="1:7" x14ac:dyDescent="0.25">
      <c r="A37" s="33" t="s">
        <v>120</v>
      </c>
      <c r="B37" s="30">
        <f>B25*C37</f>
        <v>0</v>
      </c>
      <c r="C37" s="34">
        <v>0</v>
      </c>
      <c r="D37" s="33"/>
      <c r="E37" s="30">
        <f>B37+B25</f>
        <v>145.30734545454544</v>
      </c>
    </row>
    <row r="39" spans="1:7" x14ac:dyDescent="0.25">
      <c r="A39" s="33" t="s">
        <v>121</v>
      </c>
      <c r="B39" s="33" t="s">
        <v>122</v>
      </c>
      <c r="C39" s="33"/>
      <c r="D39" s="33" t="s">
        <v>123</v>
      </c>
      <c r="E39" s="33"/>
      <c r="G39" s="1" t="s">
        <v>124</v>
      </c>
    </row>
    <row r="40" spans="1:7" x14ac:dyDescent="0.25">
      <c r="A40" s="33" t="s">
        <v>125</v>
      </c>
      <c r="B40" s="30">
        <f>D40*E40</f>
        <v>1.7807272727272727</v>
      </c>
      <c r="C40" s="34">
        <v>0.5</v>
      </c>
      <c r="D40" s="33">
        <v>1</v>
      </c>
      <c r="E40" s="30">
        <f>B10*C40</f>
        <v>1.7807272727272727</v>
      </c>
    </row>
    <row r="41" spans="1:7" x14ac:dyDescent="0.25">
      <c r="A41" s="33" t="s">
        <v>126</v>
      </c>
      <c r="B41" s="30"/>
      <c r="C41" s="34">
        <v>0.2</v>
      </c>
      <c r="D41" s="33">
        <v>1</v>
      </c>
      <c r="E41" s="30"/>
    </row>
  </sheetData>
  <mergeCells count="1">
    <mergeCell ref="I20:L20"/>
  </mergeCells>
  <hyperlinks>
    <hyperlink ref="G39" r:id="rId1"/>
    <hyperlink ref="J4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TABELAS!$G$4:$G$6</xm:f>
          </x14:formula1>
          <xm:sqref>B4</xm:sqref>
        </x14:dataValidation>
        <x14:dataValidation type="list" allowBlank="1" showInputMessage="1" showErrorMessage="1">
          <x14:formula1>
            <xm:f>TABELAS!$K$4:$K$5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zoomScaleNormal="100" workbookViewId="0">
      <selection activeCell="D2" sqref="D2"/>
    </sheetView>
  </sheetViews>
  <sheetFormatPr defaultRowHeight="15" x14ac:dyDescent="0.25"/>
  <cols>
    <col min="1" max="1" width="22.7109375" style="33" bestFit="1" customWidth="1"/>
    <col min="2" max="2" width="27" style="33" bestFit="1" customWidth="1"/>
    <col min="3" max="3" width="9.140625" style="33"/>
    <col min="4" max="4" width="11" style="33" bestFit="1" customWidth="1"/>
    <col min="5" max="5" width="13.28515625" style="33" bestFit="1" customWidth="1"/>
    <col min="6" max="16384" width="9.140625" style="33"/>
  </cols>
  <sheetData>
    <row r="2" spans="1:8" x14ac:dyDescent="0.25">
      <c r="A2" s="33" t="s">
        <v>97</v>
      </c>
      <c r="B2" s="33">
        <v>1110</v>
      </c>
      <c r="D2" s="33" t="s">
        <v>129</v>
      </c>
    </row>
    <row r="3" spans="1:8" x14ac:dyDescent="0.25">
      <c r="A3" s="33" t="s">
        <v>98</v>
      </c>
      <c r="B3" s="33" t="s">
        <v>99</v>
      </c>
    </row>
    <row r="4" spans="1:8" x14ac:dyDescent="0.25">
      <c r="A4" s="33" t="s">
        <v>100</v>
      </c>
      <c r="B4" s="33" t="s">
        <v>91</v>
      </c>
      <c r="H4" s="33">
        <v>12.45</v>
      </c>
    </row>
    <row r="5" spans="1:8" x14ac:dyDescent="0.25">
      <c r="A5" s="33" t="s">
        <v>104</v>
      </c>
      <c r="B5" s="38">
        <v>800</v>
      </c>
    </row>
    <row r="7" spans="1:8" x14ac:dyDescent="0.25">
      <c r="A7" s="33" t="s">
        <v>101</v>
      </c>
      <c r="B7" s="27">
        <v>43556</v>
      </c>
    </row>
    <row r="8" spans="1:8" x14ac:dyDescent="0.25">
      <c r="A8" s="33" t="s">
        <v>102</v>
      </c>
      <c r="B8" s="39">
        <v>24</v>
      </c>
    </row>
    <row r="9" spans="1:8" x14ac:dyDescent="0.25">
      <c r="A9" s="33" t="s">
        <v>103</v>
      </c>
      <c r="B9" s="39">
        <v>6</v>
      </c>
    </row>
    <row r="10" spans="1:8" x14ac:dyDescent="0.25">
      <c r="A10" s="33" t="s">
        <v>105</v>
      </c>
      <c r="B10" s="41">
        <f>IF(B4="Mensalista",B5/220,B5)</f>
        <v>3.6363636363636362</v>
      </c>
    </row>
    <row r="11" spans="1:8" x14ac:dyDescent="0.25">
      <c r="B11" s="41"/>
    </row>
    <row r="12" spans="1:8" x14ac:dyDescent="0.25">
      <c r="B12" s="2"/>
    </row>
    <row r="13" spans="1:8" x14ac:dyDescent="0.25">
      <c r="A13" s="33" t="s">
        <v>114</v>
      </c>
      <c r="C13" s="33" t="s">
        <v>108</v>
      </c>
      <c r="D13" s="33" t="s">
        <v>109</v>
      </c>
      <c r="E13" s="33" t="s">
        <v>29</v>
      </c>
    </row>
    <row r="14" spans="1:8" x14ac:dyDescent="0.25">
      <c r="A14" s="33" t="s">
        <v>107</v>
      </c>
      <c r="B14" s="42">
        <f>D14*E14</f>
        <v>0</v>
      </c>
      <c r="C14" s="40">
        <v>0.25</v>
      </c>
      <c r="D14" s="38">
        <v>0</v>
      </c>
      <c r="E14" s="41">
        <f>$B$10*(1+C14)</f>
        <v>4.545454545454545</v>
      </c>
    </row>
    <row r="15" spans="1:8" x14ac:dyDescent="0.25">
      <c r="A15" s="33" t="s">
        <v>107</v>
      </c>
      <c r="B15" s="42">
        <f>D15*E15</f>
        <v>148.36363636363637</v>
      </c>
      <c r="C15" s="40">
        <v>0.6</v>
      </c>
      <c r="D15" s="38">
        <v>25.5</v>
      </c>
      <c r="E15" s="41">
        <f>$B$10*(1+C15)</f>
        <v>5.8181818181818183</v>
      </c>
    </row>
    <row r="16" spans="1:8" x14ac:dyDescent="0.25">
      <c r="A16" s="33" t="s">
        <v>107</v>
      </c>
      <c r="B16" s="42">
        <f>D16*E16</f>
        <v>0</v>
      </c>
      <c r="C16" s="40">
        <v>0.75</v>
      </c>
      <c r="D16" s="38">
        <v>0</v>
      </c>
      <c r="E16" s="41">
        <f>$B$10*(1+C16)</f>
        <v>6.3636363636363633</v>
      </c>
    </row>
    <row r="17" spans="1:7" x14ac:dyDescent="0.25">
      <c r="A17" s="33" t="s">
        <v>107</v>
      </c>
      <c r="B17" s="42">
        <f>D17*E17</f>
        <v>0</v>
      </c>
      <c r="C17" s="40">
        <v>1</v>
      </c>
      <c r="D17" s="38">
        <v>0</v>
      </c>
      <c r="E17" s="41">
        <f>$B$10*(1+C17)</f>
        <v>7.2727272727272725</v>
      </c>
    </row>
    <row r="18" spans="1:7" x14ac:dyDescent="0.25">
      <c r="A18" s="33" t="s">
        <v>110</v>
      </c>
      <c r="B18" s="42">
        <f>SUM(B14:B17)</f>
        <v>148.36363636363637</v>
      </c>
      <c r="C18" s="34"/>
    </row>
    <row r="19" spans="1:7" x14ac:dyDescent="0.25">
      <c r="A19" s="33" t="s">
        <v>111</v>
      </c>
      <c r="B19" s="42">
        <f>(B18/B8)*B9</f>
        <v>37.090909090909093</v>
      </c>
    </row>
    <row r="20" spans="1:7" x14ac:dyDescent="0.25">
      <c r="C20" s="34"/>
    </row>
    <row r="21" spans="1:7" x14ac:dyDescent="0.25">
      <c r="A21" s="33" t="s">
        <v>112</v>
      </c>
      <c r="B21" s="38">
        <v>1340</v>
      </c>
    </row>
    <row r="22" spans="1:7" x14ac:dyDescent="0.25">
      <c r="A22" s="33" t="s">
        <v>113</v>
      </c>
      <c r="B22" s="41">
        <f>(B21/B8)*B9</f>
        <v>335</v>
      </c>
    </row>
    <row r="24" spans="1:7" x14ac:dyDescent="0.25">
      <c r="A24" s="33" t="s">
        <v>115</v>
      </c>
    </row>
    <row r="25" spans="1:7" x14ac:dyDescent="0.25">
      <c r="A25" s="33" t="s">
        <v>116</v>
      </c>
      <c r="B25" s="30">
        <f>B5*C25</f>
        <v>200</v>
      </c>
      <c r="C25" s="34">
        <v>0.25</v>
      </c>
      <c r="E25" s="30">
        <f>B5+B25</f>
        <v>1000</v>
      </c>
    </row>
    <row r="26" spans="1:7" x14ac:dyDescent="0.25">
      <c r="A26" s="33" t="s">
        <v>117</v>
      </c>
      <c r="B26" s="30">
        <f>B18*C26</f>
        <v>0</v>
      </c>
      <c r="C26" s="34">
        <v>0</v>
      </c>
      <c r="E26" s="30">
        <f>B18+B26</f>
        <v>148.36363636363637</v>
      </c>
    </row>
    <row r="28" spans="1:7" x14ac:dyDescent="0.25">
      <c r="A28" s="33" t="s">
        <v>118</v>
      </c>
    </row>
    <row r="29" spans="1:7" x14ac:dyDescent="0.25">
      <c r="A29" s="33" t="s">
        <v>119</v>
      </c>
      <c r="B29" s="30">
        <f>B5*C29</f>
        <v>200</v>
      </c>
      <c r="C29" s="34">
        <v>0.25</v>
      </c>
      <c r="E29" s="30">
        <f>B5+B29</f>
        <v>1000</v>
      </c>
    </row>
    <row r="30" spans="1:7" x14ac:dyDescent="0.25">
      <c r="A30" s="33" t="s">
        <v>120</v>
      </c>
      <c r="B30" s="30">
        <f>B18*C30</f>
        <v>0</v>
      </c>
      <c r="C30" s="34">
        <v>0</v>
      </c>
      <c r="E30" s="30">
        <f>B30+B18</f>
        <v>148.36363636363637</v>
      </c>
    </row>
    <row r="32" spans="1:7" x14ac:dyDescent="0.25">
      <c r="A32" s="33" t="s">
        <v>121</v>
      </c>
      <c r="B32" s="33" t="s">
        <v>122</v>
      </c>
      <c r="D32" s="33" t="s">
        <v>123</v>
      </c>
      <c r="G32" s="1" t="s">
        <v>124</v>
      </c>
    </row>
    <row r="33" spans="1:5" x14ac:dyDescent="0.25">
      <c r="A33" s="33" t="s">
        <v>125</v>
      </c>
      <c r="B33" s="30">
        <f>D33*E33</f>
        <v>1.8181818181818181</v>
      </c>
      <c r="C33" s="34">
        <v>0.5</v>
      </c>
      <c r="D33" s="33">
        <v>1</v>
      </c>
      <c r="E33" s="30">
        <f>B10*C33</f>
        <v>1.8181818181818181</v>
      </c>
    </row>
    <row r="34" spans="1:5" x14ac:dyDescent="0.25">
      <c r="A34" s="33" t="s">
        <v>126</v>
      </c>
      <c r="B34" s="30"/>
      <c r="C34" s="34">
        <v>0.2</v>
      </c>
      <c r="D34" s="33">
        <v>1</v>
      </c>
      <c r="E34" s="30"/>
    </row>
  </sheetData>
  <hyperlinks>
    <hyperlink ref="G32" r:id="rId1"/>
  </hyperlinks>
  <pageMargins left="0.511811024" right="0.511811024" top="0.78740157499999996" bottom="0.78740157499999996" header="0.31496062000000002" footer="0.31496062000000002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TABELAS!$G$4:$G$6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U39"/>
  <sheetViews>
    <sheetView showGridLines="0" topLeftCell="H14" zoomScale="86" zoomScaleNormal="86" workbookViewId="0">
      <selection activeCell="T26" sqref="T26"/>
    </sheetView>
  </sheetViews>
  <sheetFormatPr defaultRowHeight="15" x14ac:dyDescent="0.25"/>
  <cols>
    <col min="2" max="2" width="14.5703125" customWidth="1"/>
    <col min="4" max="4" width="14" customWidth="1"/>
    <col min="5" max="5" width="15.7109375" customWidth="1"/>
    <col min="6" max="6" width="14.85546875" customWidth="1"/>
    <col min="7" max="7" width="11.85546875" customWidth="1"/>
    <col min="9" max="9" width="13.140625" customWidth="1"/>
    <col min="10" max="10" width="13" customWidth="1"/>
    <col min="11" max="11" width="14.5703125" customWidth="1"/>
    <col min="13" max="13" width="15.7109375" bestFit="1" customWidth="1"/>
    <col min="14" max="14" width="11" customWidth="1"/>
    <col min="15" max="15" width="12.28515625" customWidth="1"/>
    <col min="16" max="16" width="14.140625" customWidth="1"/>
    <col min="17" max="17" width="11.5703125" customWidth="1"/>
    <col min="18" max="18" width="13.7109375" customWidth="1"/>
    <col min="19" max="19" width="13.85546875" customWidth="1"/>
    <col min="20" max="20" width="13.5703125" customWidth="1"/>
    <col min="21" max="21" width="12.5703125" bestFit="1" customWidth="1"/>
    <col min="22" max="22" width="20.28515625" customWidth="1"/>
    <col min="24" max="24" width="12.42578125" customWidth="1"/>
    <col min="25" max="25" width="11.7109375" bestFit="1" customWidth="1"/>
    <col min="26" max="26" width="10.140625" bestFit="1" customWidth="1"/>
    <col min="28" max="28" width="9.85546875" bestFit="1" customWidth="1"/>
    <col min="31" max="31" width="27" bestFit="1" customWidth="1"/>
  </cols>
  <sheetData>
    <row r="1" spans="2:21" x14ac:dyDescent="0.25">
      <c r="M1" s="31" t="s">
        <v>33</v>
      </c>
      <c r="N1" s="32" t="s">
        <v>5</v>
      </c>
      <c r="O1" s="32" t="s">
        <v>34</v>
      </c>
      <c r="P1" s="14" t="s">
        <v>4</v>
      </c>
      <c r="Q1" s="32" t="s">
        <v>9</v>
      </c>
      <c r="R1" s="32" t="s">
        <v>35</v>
      </c>
      <c r="S1" s="32" t="s">
        <v>36</v>
      </c>
      <c r="T1" s="31" t="s">
        <v>37</v>
      </c>
    </row>
    <row r="2" spans="2:21" ht="15.75" thickBot="1" x14ac:dyDescent="0.3">
      <c r="B2" s="20" t="s">
        <v>25</v>
      </c>
      <c r="C2" s="20"/>
      <c r="D2" s="20"/>
      <c r="E2" s="20"/>
      <c r="F2" s="21" t="s">
        <v>24</v>
      </c>
      <c r="M2" s="14" t="s">
        <v>30</v>
      </c>
      <c r="N2" s="14" t="s">
        <v>26</v>
      </c>
      <c r="O2" s="14" t="s">
        <v>29</v>
      </c>
      <c r="P2" s="14" t="s">
        <v>9</v>
      </c>
      <c r="Q2" s="14" t="s">
        <v>26</v>
      </c>
      <c r="R2" s="14" t="s">
        <v>28</v>
      </c>
      <c r="S2" s="14" t="s">
        <v>29</v>
      </c>
      <c r="T2" s="14" t="s">
        <v>31</v>
      </c>
    </row>
    <row r="3" spans="2:21" x14ac:dyDescent="0.25">
      <c r="B3" s="8">
        <v>0</v>
      </c>
      <c r="C3" s="9" t="s">
        <v>0</v>
      </c>
      <c r="D3" s="8">
        <v>1693.72</v>
      </c>
      <c r="E3" s="9" t="s">
        <v>32</v>
      </c>
      <c r="F3" s="10">
        <v>0.08</v>
      </c>
      <c r="G3" t="s">
        <v>7</v>
      </c>
      <c r="M3" s="2">
        <v>1000</v>
      </c>
      <c r="N3" s="3">
        <f t="shared" ref="N3:N29" si="0">IF(L3&gt;$D$5,$F$6,VLOOKUP(M3,$B$3:$F$5,5,1))</f>
        <v>0.08</v>
      </c>
      <c r="O3" s="23">
        <f t="shared" ref="O3:O29" si="1">IF(M3&gt;$D$5,$F$6,M3*VLOOKUP(M3,$B$3:$F$5,5,1))</f>
        <v>80</v>
      </c>
      <c r="P3" s="23">
        <f t="shared" ref="P3:P29" si="2">M3-O3</f>
        <v>920</v>
      </c>
      <c r="Q3" s="3">
        <f t="shared" ref="Q3:Q29" si="3">IF(P3&gt;=$D$13,$F$13,VLOOKUP(P3,$B$9:$G$12,5,1))</f>
        <v>0</v>
      </c>
      <c r="R3" s="23">
        <f t="shared" ref="R3:R29" si="4">IF(P3&gt;=$D$13,$G$13,VLOOKUP(P3,$B$9:$G$12,6,1))</f>
        <v>0</v>
      </c>
      <c r="S3" s="23">
        <f t="shared" ref="S3:S29" si="5">(P3*Q3)-R3</f>
        <v>0</v>
      </c>
      <c r="T3" s="23">
        <f t="shared" ref="T3:T29" si="6">P3-S3</f>
        <v>920</v>
      </c>
      <c r="U3" s="3"/>
    </row>
    <row r="4" spans="2:21" x14ac:dyDescent="0.25">
      <c r="B4" s="15">
        <v>1693.73</v>
      </c>
      <c r="C4" s="16" t="s">
        <v>0</v>
      </c>
      <c r="D4" s="15">
        <v>2822.9</v>
      </c>
      <c r="E4" s="16" t="s">
        <v>6</v>
      </c>
      <c r="F4" s="17">
        <v>0.09</v>
      </c>
      <c r="M4" s="2">
        <f t="shared" ref="M4:M29" si="7">M3+250</f>
        <v>1250</v>
      </c>
      <c r="N4" s="3">
        <f t="shared" si="0"/>
        <v>0.08</v>
      </c>
      <c r="O4" s="23">
        <f t="shared" si="1"/>
        <v>100</v>
      </c>
      <c r="P4" s="23">
        <f t="shared" si="2"/>
        <v>1150</v>
      </c>
      <c r="Q4" s="3">
        <f t="shared" si="3"/>
        <v>0</v>
      </c>
      <c r="R4" s="23">
        <f t="shared" si="4"/>
        <v>0</v>
      </c>
      <c r="S4" s="23">
        <f t="shared" si="5"/>
        <v>0</v>
      </c>
      <c r="T4" s="23">
        <f t="shared" si="6"/>
        <v>1150</v>
      </c>
    </row>
    <row r="5" spans="2:21" ht="15.75" customHeight="1" thickBot="1" x14ac:dyDescent="0.3">
      <c r="B5" s="11">
        <v>2822.91</v>
      </c>
      <c r="C5" s="12" t="s">
        <v>0</v>
      </c>
      <c r="D5" s="11">
        <v>5645.8</v>
      </c>
      <c r="E5" s="12" t="s">
        <v>27</v>
      </c>
      <c r="F5" s="13">
        <v>0.11</v>
      </c>
      <c r="M5" s="24">
        <f t="shared" si="7"/>
        <v>1500</v>
      </c>
      <c r="N5" s="25">
        <f t="shared" si="0"/>
        <v>0.08</v>
      </c>
      <c r="O5" s="26">
        <f t="shared" si="1"/>
        <v>120</v>
      </c>
      <c r="P5" s="26">
        <f t="shared" si="2"/>
        <v>1380</v>
      </c>
      <c r="Q5" s="25">
        <f t="shared" si="3"/>
        <v>0</v>
      </c>
      <c r="R5" s="26">
        <f t="shared" si="4"/>
        <v>0</v>
      </c>
      <c r="S5" s="26">
        <f t="shared" si="5"/>
        <v>0</v>
      </c>
      <c r="T5" s="26">
        <f t="shared" si="6"/>
        <v>1380</v>
      </c>
    </row>
    <row r="6" spans="2:21" x14ac:dyDescent="0.25">
      <c r="B6" s="18"/>
      <c r="C6" s="18"/>
      <c r="D6" s="18"/>
      <c r="E6" s="22" t="s">
        <v>3</v>
      </c>
      <c r="F6" s="19">
        <f>$D$5*$F$5</f>
        <v>621.03800000000001</v>
      </c>
      <c r="M6" s="2">
        <f t="shared" si="7"/>
        <v>1750</v>
      </c>
      <c r="N6" s="3">
        <f t="shared" si="0"/>
        <v>0.09</v>
      </c>
      <c r="O6" s="23">
        <f t="shared" si="1"/>
        <v>157.5</v>
      </c>
      <c r="P6" s="23">
        <f t="shared" si="2"/>
        <v>1592.5</v>
      </c>
      <c r="Q6" s="3">
        <f t="shared" si="3"/>
        <v>0</v>
      </c>
      <c r="R6" s="23">
        <f t="shared" si="4"/>
        <v>0</v>
      </c>
      <c r="S6" s="23">
        <f t="shared" si="5"/>
        <v>0</v>
      </c>
      <c r="T6" s="23">
        <f t="shared" si="6"/>
        <v>1592.5</v>
      </c>
    </row>
    <row r="7" spans="2:21" x14ac:dyDescent="0.25">
      <c r="B7" s="7"/>
      <c r="M7" s="2">
        <f t="shared" si="7"/>
        <v>2000</v>
      </c>
      <c r="N7" s="3">
        <f t="shared" si="0"/>
        <v>0.09</v>
      </c>
      <c r="O7" s="23">
        <f t="shared" si="1"/>
        <v>180</v>
      </c>
      <c r="P7" s="23">
        <f t="shared" si="2"/>
        <v>1820</v>
      </c>
      <c r="Q7" s="3">
        <f t="shared" si="3"/>
        <v>0</v>
      </c>
      <c r="R7" s="23">
        <f t="shared" si="4"/>
        <v>0</v>
      </c>
      <c r="S7" s="23">
        <f t="shared" si="5"/>
        <v>0</v>
      </c>
      <c r="T7" s="23">
        <f t="shared" si="6"/>
        <v>1820</v>
      </c>
    </row>
    <row r="8" spans="2:21" x14ac:dyDescent="0.25">
      <c r="B8" s="7" t="s">
        <v>1</v>
      </c>
      <c r="F8" t="s">
        <v>24</v>
      </c>
      <c r="G8" t="s">
        <v>23</v>
      </c>
      <c r="M8" s="2">
        <f t="shared" si="7"/>
        <v>2250</v>
      </c>
      <c r="N8" s="3">
        <f t="shared" si="0"/>
        <v>0.09</v>
      </c>
      <c r="O8" s="23">
        <f t="shared" si="1"/>
        <v>202.5</v>
      </c>
      <c r="P8" s="23">
        <f t="shared" si="2"/>
        <v>2047.5</v>
      </c>
      <c r="Q8" s="3">
        <f t="shared" si="3"/>
        <v>7.4999999999999997E-2</v>
      </c>
      <c r="R8" s="23">
        <f t="shared" si="4"/>
        <v>142.80000000000001</v>
      </c>
      <c r="S8" s="23">
        <f t="shared" si="5"/>
        <v>10.762499999999989</v>
      </c>
      <c r="T8" s="23">
        <f t="shared" si="6"/>
        <v>2036.7375</v>
      </c>
    </row>
    <row r="9" spans="2:21" x14ac:dyDescent="0.25">
      <c r="B9" s="4">
        <v>0</v>
      </c>
      <c r="C9" s="6" t="s">
        <v>0</v>
      </c>
      <c r="D9" s="28">
        <v>1903.98</v>
      </c>
      <c r="F9" s="3">
        <v>0</v>
      </c>
      <c r="G9" s="4">
        <v>0</v>
      </c>
      <c r="M9" s="2">
        <f t="shared" si="7"/>
        <v>2500</v>
      </c>
      <c r="N9" s="3">
        <f t="shared" si="0"/>
        <v>0.09</v>
      </c>
      <c r="O9" s="23">
        <f t="shared" si="1"/>
        <v>225</v>
      </c>
      <c r="P9" s="23">
        <f t="shared" si="2"/>
        <v>2275</v>
      </c>
      <c r="Q9" s="3">
        <f t="shared" si="3"/>
        <v>7.4999999999999997E-2</v>
      </c>
      <c r="R9" s="23">
        <f t="shared" si="4"/>
        <v>142.80000000000001</v>
      </c>
      <c r="S9" s="23">
        <f t="shared" si="5"/>
        <v>27.824999999999989</v>
      </c>
      <c r="T9" s="23">
        <f t="shared" si="6"/>
        <v>2247.1750000000002</v>
      </c>
    </row>
    <row r="10" spans="2:21" x14ac:dyDescent="0.25">
      <c r="B10" s="4">
        <v>1903.99</v>
      </c>
      <c r="C10" s="6" t="s">
        <v>0</v>
      </c>
      <c r="D10" s="28">
        <v>2826.65</v>
      </c>
      <c r="F10" s="3">
        <v>7.4999999999999997E-2</v>
      </c>
      <c r="G10" s="4">
        <v>142.80000000000001</v>
      </c>
      <c r="I10" s="4"/>
      <c r="J10" s="4"/>
      <c r="M10" s="2">
        <f t="shared" si="7"/>
        <v>2750</v>
      </c>
      <c r="N10" s="3">
        <f t="shared" si="0"/>
        <v>0.09</v>
      </c>
      <c r="O10" s="23">
        <f t="shared" si="1"/>
        <v>247.5</v>
      </c>
      <c r="P10" s="23">
        <f t="shared" si="2"/>
        <v>2502.5</v>
      </c>
      <c r="Q10" s="3">
        <f t="shared" si="3"/>
        <v>7.4999999999999997E-2</v>
      </c>
      <c r="R10" s="23">
        <f t="shared" si="4"/>
        <v>142.80000000000001</v>
      </c>
      <c r="S10" s="23">
        <f t="shared" si="5"/>
        <v>44.887499999999989</v>
      </c>
      <c r="T10" s="23">
        <f t="shared" si="6"/>
        <v>2457.6125000000002</v>
      </c>
    </row>
    <row r="11" spans="2:21" x14ac:dyDescent="0.25">
      <c r="B11" s="4">
        <v>2826.66</v>
      </c>
      <c r="C11" s="6" t="s">
        <v>0</v>
      </c>
      <c r="D11" s="4">
        <v>3751.05</v>
      </c>
      <c r="F11" s="3">
        <v>0.15</v>
      </c>
      <c r="G11" s="4">
        <v>354.8</v>
      </c>
      <c r="I11" s="4"/>
      <c r="J11" s="4"/>
      <c r="M11" s="2">
        <f t="shared" si="7"/>
        <v>3000</v>
      </c>
      <c r="N11" s="3">
        <f t="shared" si="0"/>
        <v>0.11</v>
      </c>
      <c r="O11" s="23">
        <f t="shared" si="1"/>
        <v>330</v>
      </c>
      <c r="P11" s="23">
        <f t="shared" si="2"/>
        <v>2670</v>
      </c>
      <c r="Q11" s="3">
        <f t="shared" si="3"/>
        <v>7.4999999999999997E-2</v>
      </c>
      <c r="R11" s="23">
        <f t="shared" si="4"/>
        <v>142.80000000000001</v>
      </c>
      <c r="S11" s="23">
        <f t="shared" si="5"/>
        <v>57.449999999999989</v>
      </c>
      <c r="T11" s="23">
        <f t="shared" si="6"/>
        <v>2612.5500000000002</v>
      </c>
    </row>
    <row r="12" spans="2:21" x14ac:dyDescent="0.25">
      <c r="B12" s="4">
        <v>3751.06</v>
      </c>
      <c r="C12" s="6" t="s">
        <v>0</v>
      </c>
      <c r="D12" s="4">
        <v>4664.68</v>
      </c>
      <c r="F12" s="29">
        <v>0.22500000000000001</v>
      </c>
      <c r="G12" s="4">
        <v>636.13</v>
      </c>
      <c r="I12" s="4"/>
      <c r="J12" s="4"/>
      <c r="K12" t="s">
        <v>9</v>
      </c>
      <c r="M12" s="2">
        <f t="shared" si="7"/>
        <v>3250</v>
      </c>
      <c r="N12" s="3">
        <f t="shared" si="0"/>
        <v>0.11</v>
      </c>
      <c r="O12" s="23">
        <f t="shared" si="1"/>
        <v>357.5</v>
      </c>
      <c r="P12" s="23">
        <f t="shared" si="2"/>
        <v>2892.5</v>
      </c>
      <c r="Q12" s="3">
        <f t="shared" si="3"/>
        <v>0.15</v>
      </c>
      <c r="R12" s="23">
        <f t="shared" si="4"/>
        <v>354.8</v>
      </c>
      <c r="S12" s="23">
        <f t="shared" si="5"/>
        <v>79.074999999999989</v>
      </c>
      <c r="T12" s="23">
        <f t="shared" si="6"/>
        <v>2813.4250000000002</v>
      </c>
    </row>
    <row r="13" spans="2:21" x14ac:dyDescent="0.25">
      <c r="C13" s="6" t="s">
        <v>2</v>
      </c>
      <c r="D13" s="28">
        <v>4664.6899999999996</v>
      </c>
      <c r="F13" s="3">
        <v>0.27500000000000002</v>
      </c>
      <c r="G13" s="4">
        <v>869.36</v>
      </c>
      <c r="I13" s="4">
        <v>6178.9620000000004</v>
      </c>
      <c r="J13" s="4">
        <f>I13*F13</f>
        <v>1699.2145500000004</v>
      </c>
      <c r="K13" s="4">
        <f>J13-G13</f>
        <v>829.85455000000036</v>
      </c>
      <c r="M13" s="2">
        <f t="shared" si="7"/>
        <v>3500</v>
      </c>
      <c r="N13" s="3">
        <f t="shared" si="0"/>
        <v>0.11</v>
      </c>
      <c r="O13" s="23">
        <f t="shared" si="1"/>
        <v>385</v>
      </c>
      <c r="P13" s="23">
        <f t="shared" si="2"/>
        <v>3115</v>
      </c>
      <c r="Q13" s="3">
        <f t="shared" si="3"/>
        <v>0.15</v>
      </c>
      <c r="R13" s="23">
        <f t="shared" si="4"/>
        <v>354.8</v>
      </c>
      <c r="S13" s="23">
        <f t="shared" si="5"/>
        <v>112.44999999999999</v>
      </c>
      <c r="T13" s="23">
        <f t="shared" si="6"/>
        <v>3002.55</v>
      </c>
    </row>
    <row r="14" spans="2:21" x14ac:dyDescent="0.25">
      <c r="M14" s="2">
        <f t="shared" si="7"/>
        <v>3750</v>
      </c>
      <c r="N14" s="3">
        <f t="shared" si="0"/>
        <v>0.11</v>
      </c>
      <c r="O14" s="23">
        <f t="shared" si="1"/>
        <v>412.5</v>
      </c>
      <c r="P14" s="23">
        <f t="shared" si="2"/>
        <v>3337.5</v>
      </c>
      <c r="Q14" s="3">
        <f t="shared" si="3"/>
        <v>0.15</v>
      </c>
      <c r="R14" s="23">
        <f t="shared" si="4"/>
        <v>354.8</v>
      </c>
      <c r="S14" s="23">
        <f t="shared" si="5"/>
        <v>145.82499999999999</v>
      </c>
      <c r="T14" s="23">
        <f t="shared" si="6"/>
        <v>3191.6750000000002</v>
      </c>
    </row>
    <row r="15" spans="2:21" x14ac:dyDescent="0.25">
      <c r="M15" s="2">
        <f t="shared" si="7"/>
        <v>4000</v>
      </c>
      <c r="N15" s="3">
        <f t="shared" si="0"/>
        <v>0.11</v>
      </c>
      <c r="O15" s="23">
        <f t="shared" si="1"/>
        <v>440</v>
      </c>
      <c r="P15" s="23">
        <f t="shared" si="2"/>
        <v>3560</v>
      </c>
      <c r="Q15" s="3">
        <f t="shared" si="3"/>
        <v>0.15</v>
      </c>
      <c r="R15" s="23">
        <f t="shared" si="4"/>
        <v>354.8</v>
      </c>
      <c r="S15" s="23">
        <f t="shared" si="5"/>
        <v>179.2</v>
      </c>
      <c r="T15" s="23">
        <f t="shared" si="6"/>
        <v>3380.8</v>
      </c>
    </row>
    <row r="16" spans="2:21" x14ac:dyDescent="0.25">
      <c r="B16" t="s">
        <v>16</v>
      </c>
      <c r="M16" s="2">
        <f t="shared" si="7"/>
        <v>4250</v>
      </c>
      <c r="N16" s="3">
        <f t="shared" si="0"/>
        <v>0.11</v>
      </c>
      <c r="O16" s="23">
        <f t="shared" si="1"/>
        <v>467.5</v>
      </c>
      <c r="P16" s="23">
        <f t="shared" si="2"/>
        <v>3782.5</v>
      </c>
      <c r="Q16" s="3">
        <f t="shared" si="3"/>
        <v>0.22500000000000001</v>
      </c>
      <c r="R16" s="23">
        <f t="shared" si="4"/>
        <v>636.13</v>
      </c>
      <c r="S16" s="23">
        <f t="shared" si="5"/>
        <v>214.9325</v>
      </c>
      <c r="T16" s="23">
        <f t="shared" si="6"/>
        <v>3567.5675000000001</v>
      </c>
    </row>
    <row r="17" spans="2:20" x14ac:dyDescent="0.25">
      <c r="C17" s="5" t="s">
        <v>17</v>
      </c>
      <c r="D17" s="5"/>
      <c r="E17" s="5" t="s">
        <v>19</v>
      </c>
      <c r="F17" s="5"/>
      <c r="M17" s="2">
        <f t="shared" si="7"/>
        <v>4500</v>
      </c>
      <c r="N17" s="3">
        <f t="shared" si="0"/>
        <v>0.11</v>
      </c>
      <c r="O17" s="23">
        <f t="shared" si="1"/>
        <v>495</v>
      </c>
      <c r="P17" s="23">
        <f t="shared" si="2"/>
        <v>4005</v>
      </c>
      <c r="Q17" s="3">
        <f t="shared" si="3"/>
        <v>0.22500000000000001</v>
      </c>
      <c r="R17" s="23">
        <f t="shared" si="4"/>
        <v>636.13</v>
      </c>
      <c r="S17" s="23">
        <f t="shared" si="5"/>
        <v>264.995</v>
      </c>
      <c r="T17" s="23">
        <f t="shared" si="6"/>
        <v>3740.0050000000001</v>
      </c>
    </row>
    <row r="18" spans="2:20" x14ac:dyDescent="0.25">
      <c r="C18" t="s">
        <v>18</v>
      </c>
      <c r="D18" t="s">
        <v>15</v>
      </c>
      <c r="E18" t="s">
        <v>20</v>
      </c>
      <c r="F18" t="s">
        <v>21</v>
      </c>
      <c r="M18" s="2">
        <f t="shared" si="7"/>
        <v>4750</v>
      </c>
      <c r="N18" s="3">
        <f t="shared" si="0"/>
        <v>0.11</v>
      </c>
      <c r="O18" s="23">
        <f t="shared" si="1"/>
        <v>522.5</v>
      </c>
      <c r="P18" s="23">
        <f t="shared" si="2"/>
        <v>4227.5</v>
      </c>
      <c r="Q18" s="3">
        <f t="shared" si="3"/>
        <v>0.22500000000000001</v>
      </c>
      <c r="R18" s="23">
        <f t="shared" si="4"/>
        <v>636.13</v>
      </c>
      <c r="S18" s="23">
        <f t="shared" si="5"/>
        <v>315.0575</v>
      </c>
      <c r="T18" s="23">
        <f t="shared" si="6"/>
        <v>3912.4425000000001</v>
      </c>
    </row>
    <row r="19" spans="2:20" x14ac:dyDescent="0.25">
      <c r="B19" t="s">
        <v>8</v>
      </c>
      <c r="M19" s="2">
        <f t="shared" si="7"/>
        <v>5000</v>
      </c>
      <c r="N19" s="3">
        <f t="shared" si="0"/>
        <v>0.11</v>
      </c>
      <c r="O19" s="23">
        <f t="shared" si="1"/>
        <v>550</v>
      </c>
      <c r="P19" s="23">
        <f t="shared" si="2"/>
        <v>4450</v>
      </c>
      <c r="Q19" s="3">
        <f t="shared" si="3"/>
        <v>0.22500000000000001</v>
      </c>
      <c r="R19" s="23">
        <f t="shared" si="4"/>
        <v>636.13</v>
      </c>
      <c r="S19" s="23">
        <f t="shared" si="5"/>
        <v>365.12</v>
      </c>
      <c r="T19" s="23">
        <f t="shared" si="6"/>
        <v>4084.88</v>
      </c>
    </row>
    <row r="20" spans="2:20" x14ac:dyDescent="0.25">
      <c r="B20" t="s">
        <v>5</v>
      </c>
      <c r="E20" t="s">
        <v>22</v>
      </c>
      <c r="F20" t="s">
        <v>22</v>
      </c>
      <c r="M20" s="2">
        <f t="shared" si="7"/>
        <v>5250</v>
      </c>
      <c r="N20" s="3">
        <f t="shared" si="0"/>
        <v>0.11</v>
      </c>
      <c r="O20" s="23">
        <f t="shared" si="1"/>
        <v>577.5</v>
      </c>
      <c r="P20" s="23">
        <f t="shared" si="2"/>
        <v>4672.5</v>
      </c>
      <c r="Q20" s="3">
        <f t="shared" si="3"/>
        <v>0.27500000000000002</v>
      </c>
      <c r="R20" s="23">
        <f t="shared" si="4"/>
        <v>869.36</v>
      </c>
      <c r="S20" s="23">
        <f t="shared" si="5"/>
        <v>415.57749999999999</v>
      </c>
      <c r="T20" s="23">
        <f t="shared" si="6"/>
        <v>4256.9224999999997</v>
      </c>
    </row>
    <row r="21" spans="2:20" x14ac:dyDescent="0.25">
      <c r="B21" t="s">
        <v>9</v>
      </c>
      <c r="E21" t="s">
        <v>22</v>
      </c>
      <c r="F21" t="s">
        <v>22</v>
      </c>
      <c r="M21" s="2">
        <f t="shared" si="7"/>
        <v>5500</v>
      </c>
      <c r="N21" s="3">
        <f t="shared" si="0"/>
        <v>0.11</v>
      </c>
      <c r="O21" s="23">
        <f t="shared" si="1"/>
        <v>605</v>
      </c>
      <c r="P21" s="23">
        <f t="shared" si="2"/>
        <v>4895</v>
      </c>
      <c r="Q21" s="3">
        <f t="shared" si="3"/>
        <v>0.27500000000000002</v>
      </c>
      <c r="R21" s="23">
        <f t="shared" si="4"/>
        <v>869.36</v>
      </c>
      <c r="S21" s="23">
        <f t="shared" si="5"/>
        <v>476.76499999999999</v>
      </c>
      <c r="T21" s="23">
        <f t="shared" si="6"/>
        <v>4418.2349999999997</v>
      </c>
    </row>
    <row r="22" spans="2:20" x14ac:dyDescent="0.25">
      <c r="B22" t="s">
        <v>10</v>
      </c>
      <c r="C22" t="s">
        <v>22</v>
      </c>
      <c r="M22" s="2">
        <f t="shared" si="7"/>
        <v>5750</v>
      </c>
      <c r="N22" s="3">
        <f t="shared" si="0"/>
        <v>0.11</v>
      </c>
      <c r="O22" s="23">
        <f t="shared" si="1"/>
        <v>621.03800000000001</v>
      </c>
      <c r="P22" s="23">
        <f t="shared" si="2"/>
        <v>5128.9619999999995</v>
      </c>
      <c r="Q22" s="3">
        <f t="shared" si="3"/>
        <v>0.27500000000000002</v>
      </c>
      <c r="R22" s="23">
        <f t="shared" si="4"/>
        <v>869.36</v>
      </c>
      <c r="S22" s="23">
        <f t="shared" si="5"/>
        <v>541.1045499999999</v>
      </c>
      <c r="T22" s="23">
        <f t="shared" si="6"/>
        <v>4587.8574499999995</v>
      </c>
    </row>
    <row r="23" spans="2:20" x14ac:dyDescent="0.25">
      <c r="B23" t="s">
        <v>11</v>
      </c>
      <c r="C23" t="s">
        <v>22</v>
      </c>
      <c r="M23" s="2">
        <f t="shared" si="7"/>
        <v>6000</v>
      </c>
      <c r="N23" s="3">
        <f t="shared" si="0"/>
        <v>0.11</v>
      </c>
      <c r="O23" s="23">
        <f t="shared" si="1"/>
        <v>621.03800000000001</v>
      </c>
      <c r="P23" s="23">
        <f t="shared" si="2"/>
        <v>5378.9619999999995</v>
      </c>
      <c r="Q23" s="3">
        <f t="shared" si="3"/>
        <v>0.27500000000000002</v>
      </c>
      <c r="R23" s="23">
        <f t="shared" si="4"/>
        <v>869.36</v>
      </c>
      <c r="S23" s="23">
        <f t="shared" si="5"/>
        <v>609.8545499999999</v>
      </c>
      <c r="T23" s="23">
        <f t="shared" si="6"/>
        <v>4769.1074499999995</v>
      </c>
    </row>
    <row r="24" spans="2:20" x14ac:dyDescent="0.25">
      <c r="B24" t="s">
        <v>12</v>
      </c>
      <c r="C24" t="s">
        <v>22</v>
      </c>
      <c r="M24" s="2">
        <f t="shared" si="7"/>
        <v>6250</v>
      </c>
      <c r="N24" s="3">
        <f t="shared" si="0"/>
        <v>0.11</v>
      </c>
      <c r="O24" s="23">
        <f t="shared" si="1"/>
        <v>621.03800000000001</v>
      </c>
      <c r="P24" s="23">
        <f t="shared" si="2"/>
        <v>5628.9619999999995</v>
      </c>
      <c r="Q24" s="3">
        <f t="shared" si="3"/>
        <v>0.27500000000000002</v>
      </c>
      <c r="R24" s="23">
        <f t="shared" si="4"/>
        <v>869.36</v>
      </c>
      <c r="S24" s="23">
        <f t="shared" si="5"/>
        <v>678.6045499999999</v>
      </c>
      <c r="T24" s="23">
        <f t="shared" si="6"/>
        <v>4950.3574499999995</v>
      </c>
    </row>
    <row r="25" spans="2:20" x14ac:dyDescent="0.25">
      <c r="B25" t="s">
        <v>13</v>
      </c>
      <c r="C25" t="s">
        <v>22</v>
      </c>
      <c r="M25" s="2">
        <f t="shared" si="7"/>
        <v>6500</v>
      </c>
      <c r="N25" s="3">
        <f t="shared" si="0"/>
        <v>0.11</v>
      </c>
      <c r="O25" s="23">
        <f t="shared" si="1"/>
        <v>621.03800000000001</v>
      </c>
      <c r="P25" s="23">
        <f t="shared" si="2"/>
        <v>5878.9619999999995</v>
      </c>
      <c r="Q25" s="3">
        <f t="shared" si="3"/>
        <v>0.27500000000000002</v>
      </c>
      <c r="R25" s="23">
        <f t="shared" si="4"/>
        <v>869.36</v>
      </c>
      <c r="S25" s="23">
        <f t="shared" si="5"/>
        <v>747.3545499999999</v>
      </c>
      <c r="T25" s="23">
        <f t="shared" si="6"/>
        <v>5131.6074499999995</v>
      </c>
    </row>
    <row r="26" spans="2:20" x14ac:dyDescent="0.25">
      <c r="B26" t="s">
        <v>14</v>
      </c>
      <c r="C26" t="s">
        <v>22</v>
      </c>
      <c r="M26" s="2">
        <f t="shared" si="7"/>
        <v>6750</v>
      </c>
      <c r="N26" s="3">
        <f t="shared" si="0"/>
        <v>0.11</v>
      </c>
      <c r="O26" s="23">
        <f t="shared" si="1"/>
        <v>621.03800000000001</v>
      </c>
      <c r="P26" s="23">
        <f t="shared" si="2"/>
        <v>6128.9619999999995</v>
      </c>
      <c r="Q26" s="3">
        <f t="shared" si="3"/>
        <v>0.27500000000000002</v>
      </c>
      <c r="R26" s="23">
        <f t="shared" si="4"/>
        <v>869.36</v>
      </c>
      <c r="S26" s="23">
        <f t="shared" si="5"/>
        <v>816.1045499999999</v>
      </c>
      <c r="T26" s="23">
        <f t="shared" si="6"/>
        <v>5312.8574499999995</v>
      </c>
    </row>
    <row r="27" spans="2:20" x14ac:dyDescent="0.25">
      <c r="B27" t="s">
        <v>15</v>
      </c>
      <c r="D27" t="s">
        <v>22</v>
      </c>
      <c r="M27" s="2">
        <f t="shared" si="7"/>
        <v>7000</v>
      </c>
      <c r="N27" s="3">
        <f t="shared" si="0"/>
        <v>0.11</v>
      </c>
      <c r="O27" s="23">
        <f t="shared" si="1"/>
        <v>621.03800000000001</v>
      </c>
      <c r="P27" s="23">
        <f t="shared" si="2"/>
        <v>6378.9619999999995</v>
      </c>
      <c r="Q27" s="3">
        <f t="shared" si="3"/>
        <v>0.27500000000000002</v>
      </c>
      <c r="R27" s="23">
        <f t="shared" si="4"/>
        <v>869.36</v>
      </c>
      <c r="S27" s="23">
        <f t="shared" si="5"/>
        <v>884.8545499999999</v>
      </c>
      <c r="T27" s="23">
        <f t="shared" si="6"/>
        <v>5494.1074499999995</v>
      </c>
    </row>
    <row r="28" spans="2:20" x14ac:dyDescent="0.25">
      <c r="M28" s="2">
        <f t="shared" si="7"/>
        <v>7250</v>
      </c>
      <c r="N28" s="3">
        <f t="shared" si="0"/>
        <v>0.11</v>
      </c>
      <c r="O28" s="23">
        <f t="shared" si="1"/>
        <v>621.03800000000001</v>
      </c>
      <c r="P28" s="23">
        <f t="shared" si="2"/>
        <v>6628.9619999999995</v>
      </c>
      <c r="Q28" s="3">
        <f t="shared" si="3"/>
        <v>0.27500000000000002</v>
      </c>
      <c r="R28" s="23">
        <f t="shared" si="4"/>
        <v>869.36</v>
      </c>
      <c r="S28" s="23">
        <f t="shared" si="5"/>
        <v>953.6045499999999</v>
      </c>
      <c r="T28" s="23">
        <f t="shared" si="6"/>
        <v>5675.3574499999995</v>
      </c>
    </row>
    <row r="29" spans="2:20" x14ac:dyDescent="0.25">
      <c r="M29" s="2">
        <f t="shared" si="7"/>
        <v>7500</v>
      </c>
      <c r="N29" s="3">
        <f t="shared" si="0"/>
        <v>0.11</v>
      </c>
      <c r="O29" s="23">
        <f t="shared" si="1"/>
        <v>621.03800000000001</v>
      </c>
      <c r="P29" s="23">
        <f t="shared" si="2"/>
        <v>6878.9619999999995</v>
      </c>
      <c r="Q29" s="3">
        <f t="shared" si="3"/>
        <v>0.27500000000000002</v>
      </c>
      <c r="R29" s="23">
        <f t="shared" si="4"/>
        <v>869.36</v>
      </c>
      <c r="S29" s="23">
        <f t="shared" si="5"/>
        <v>1022.3545499999999</v>
      </c>
      <c r="T29" s="23">
        <f t="shared" si="6"/>
        <v>5856.6074499999995</v>
      </c>
    </row>
    <row r="30" spans="2:20" x14ac:dyDescent="0.25">
      <c r="M30" s="2">
        <f t="shared" ref="M30:M38" si="8">M29+250</f>
        <v>7750</v>
      </c>
      <c r="N30" s="3">
        <f t="shared" ref="N30:N38" si="9">IF(L30&gt;$D$5,$F$6,VLOOKUP(M30,$B$3:$F$5,5,1))</f>
        <v>0.11</v>
      </c>
      <c r="O30" s="23">
        <f t="shared" ref="O30:O38" si="10">IF(M30&gt;$D$5,$F$6,M30*VLOOKUP(M30,$B$3:$F$5,5,1))</f>
        <v>621.03800000000001</v>
      </c>
      <c r="P30" s="23">
        <f t="shared" ref="P30:P38" si="11">M30-O30</f>
        <v>7128.9619999999995</v>
      </c>
      <c r="Q30" s="3">
        <f t="shared" ref="Q30:Q38" si="12">IF(P30&gt;=$D$13,$F$13,VLOOKUP(P30,$B$9:$G$12,5,1))</f>
        <v>0.27500000000000002</v>
      </c>
      <c r="R30" s="23">
        <f t="shared" ref="R30:R38" si="13">IF(P30&gt;=$D$13,$G$13,VLOOKUP(P30,$B$9:$G$12,6,1))</f>
        <v>869.36</v>
      </c>
      <c r="S30" s="23">
        <f t="shared" ref="S30:S38" si="14">(P30*Q30)-R30</f>
        <v>1091.10455</v>
      </c>
      <c r="T30" s="23">
        <f t="shared" ref="T30:T38" si="15">P30-S30</f>
        <v>6037.8574499999995</v>
      </c>
    </row>
    <row r="31" spans="2:20" x14ac:dyDescent="0.25">
      <c r="M31" s="2">
        <f t="shared" si="8"/>
        <v>8000</v>
      </c>
      <c r="N31" s="3">
        <f t="shared" si="9"/>
        <v>0.11</v>
      </c>
      <c r="O31" s="23">
        <f t="shared" si="10"/>
        <v>621.03800000000001</v>
      </c>
      <c r="P31" s="23">
        <f t="shared" si="11"/>
        <v>7378.9619999999995</v>
      </c>
      <c r="Q31" s="3">
        <f t="shared" si="12"/>
        <v>0.27500000000000002</v>
      </c>
      <c r="R31" s="23">
        <f t="shared" si="13"/>
        <v>869.36</v>
      </c>
      <c r="S31" s="23">
        <f t="shared" si="14"/>
        <v>1159.85455</v>
      </c>
      <c r="T31" s="23">
        <f t="shared" si="15"/>
        <v>6219.1074499999995</v>
      </c>
    </row>
    <row r="32" spans="2:20" x14ac:dyDescent="0.25">
      <c r="M32" s="2">
        <f t="shared" si="8"/>
        <v>8250</v>
      </c>
      <c r="N32" s="3">
        <f t="shared" si="9"/>
        <v>0.11</v>
      </c>
      <c r="O32" s="23">
        <f t="shared" si="10"/>
        <v>621.03800000000001</v>
      </c>
      <c r="P32" s="23">
        <f t="shared" si="11"/>
        <v>7628.9619999999995</v>
      </c>
      <c r="Q32" s="3">
        <f t="shared" si="12"/>
        <v>0.27500000000000002</v>
      </c>
      <c r="R32" s="23">
        <f t="shared" si="13"/>
        <v>869.36</v>
      </c>
      <c r="S32" s="23">
        <f t="shared" si="14"/>
        <v>1228.60455</v>
      </c>
      <c r="T32" s="23">
        <f t="shared" si="15"/>
        <v>6400.3574499999995</v>
      </c>
    </row>
    <row r="33" spans="13:20" x14ac:dyDescent="0.25">
      <c r="M33" s="2">
        <f t="shared" si="8"/>
        <v>8500</v>
      </c>
      <c r="N33" s="3">
        <f t="shared" si="9"/>
        <v>0.11</v>
      </c>
      <c r="O33" s="23">
        <f t="shared" si="10"/>
        <v>621.03800000000001</v>
      </c>
      <c r="P33" s="23">
        <f t="shared" si="11"/>
        <v>7878.9619999999995</v>
      </c>
      <c r="Q33" s="3">
        <f t="shared" si="12"/>
        <v>0.27500000000000002</v>
      </c>
      <c r="R33" s="23">
        <f t="shared" si="13"/>
        <v>869.36</v>
      </c>
      <c r="S33" s="23">
        <f t="shared" si="14"/>
        <v>1297.35455</v>
      </c>
      <c r="T33" s="23">
        <f t="shared" si="15"/>
        <v>6581.6074499999995</v>
      </c>
    </row>
    <row r="34" spans="13:20" x14ac:dyDescent="0.25">
      <c r="M34" s="2">
        <f t="shared" si="8"/>
        <v>8750</v>
      </c>
      <c r="N34" s="3">
        <f t="shared" si="9"/>
        <v>0.11</v>
      </c>
      <c r="O34" s="23">
        <f t="shared" si="10"/>
        <v>621.03800000000001</v>
      </c>
      <c r="P34" s="23">
        <f t="shared" si="11"/>
        <v>8128.9619999999995</v>
      </c>
      <c r="Q34" s="3">
        <f t="shared" si="12"/>
        <v>0.27500000000000002</v>
      </c>
      <c r="R34" s="23">
        <f t="shared" si="13"/>
        <v>869.36</v>
      </c>
      <c r="S34" s="23">
        <f t="shared" si="14"/>
        <v>1366.10455</v>
      </c>
      <c r="T34" s="23">
        <f t="shared" si="15"/>
        <v>6762.8574499999995</v>
      </c>
    </row>
    <row r="35" spans="13:20" x14ac:dyDescent="0.25">
      <c r="M35" s="2">
        <f t="shared" si="8"/>
        <v>9000</v>
      </c>
      <c r="N35" s="3">
        <f t="shared" si="9"/>
        <v>0.11</v>
      </c>
      <c r="O35" s="23">
        <f t="shared" si="10"/>
        <v>621.03800000000001</v>
      </c>
      <c r="P35" s="23">
        <f t="shared" si="11"/>
        <v>8378.9619999999995</v>
      </c>
      <c r="Q35" s="3">
        <f t="shared" si="12"/>
        <v>0.27500000000000002</v>
      </c>
      <c r="R35" s="23">
        <f t="shared" si="13"/>
        <v>869.36</v>
      </c>
      <c r="S35" s="23">
        <f t="shared" si="14"/>
        <v>1434.85455</v>
      </c>
      <c r="T35" s="23">
        <f t="shared" si="15"/>
        <v>6944.1074499999995</v>
      </c>
    </row>
    <row r="36" spans="13:20" x14ac:dyDescent="0.25">
      <c r="M36" s="2">
        <f t="shared" si="8"/>
        <v>9250</v>
      </c>
      <c r="N36" s="3">
        <f t="shared" si="9"/>
        <v>0.11</v>
      </c>
      <c r="O36" s="23">
        <f t="shared" si="10"/>
        <v>621.03800000000001</v>
      </c>
      <c r="P36" s="23">
        <f t="shared" si="11"/>
        <v>8628.9619999999995</v>
      </c>
      <c r="Q36" s="3">
        <f t="shared" si="12"/>
        <v>0.27500000000000002</v>
      </c>
      <c r="R36" s="23">
        <f t="shared" si="13"/>
        <v>869.36</v>
      </c>
      <c r="S36" s="23">
        <f t="shared" si="14"/>
        <v>1503.60455</v>
      </c>
      <c r="T36" s="23">
        <f t="shared" si="15"/>
        <v>7125.3574499999995</v>
      </c>
    </row>
    <row r="37" spans="13:20" x14ac:dyDescent="0.25">
      <c r="M37" s="2">
        <f t="shared" si="8"/>
        <v>9500</v>
      </c>
      <c r="N37" s="3">
        <f t="shared" si="9"/>
        <v>0.11</v>
      </c>
      <c r="O37" s="23">
        <f t="shared" si="10"/>
        <v>621.03800000000001</v>
      </c>
      <c r="P37" s="23">
        <f t="shared" si="11"/>
        <v>8878.9619999999995</v>
      </c>
      <c r="Q37" s="3">
        <f t="shared" si="12"/>
        <v>0.27500000000000002</v>
      </c>
      <c r="R37" s="23">
        <f t="shared" si="13"/>
        <v>869.36</v>
      </c>
      <c r="S37" s="23">
        <f t="shared" si="14"/>
        <v>1572.35455</v>
      </c>
      <c r="T37" s="23">
        <f t="shared" si="15"/>
        <v>7306.6074499999995</v>
      </c>
    </row>
    <row r="38" spans="13:20" x14ac:dyDescent="0.25">
      <c r="M38" s="2">
        <f t="shared" si="8"/>
        <v>9750</v>
      </c>
      <c r="N38" s="3">
        <f t="shared" si="9"/>
        <v>0.11</v>
      </c>
      <c r="O38" s="23">
        <f t="shared" si="10"/>
        <v>621.03800000000001</v>
      </c>
      <c r="P38" s="23">
        <f t="shared" si="11"/>
        <v>9128.9619999999995</v>
      </c>
      <c r="Q38" s="3">
        <f t="shared" si="12"/>
        <v>0.27500000000000002</v>
      </c>
      <c r="R38" s="23">
        <f t="shared" si="13"/>
        <v>869.36</v>
      </c>
      <c r="S38" s="23">
        <f t="shared" si="14"/>
        <v>1641.10455</v>
      </c>
      <c r="T38" s="23">
        <f t="shared" si="15"/>
        <v>7487.8574499999995</v>
      </c>
    </row>
    <row r="39" spans="13:20" ht="42.75" customHeight="1" x14ac:dyDescent="0.25"/>
  </sheetData>
  <conditionalFormatting sqref="O3:O28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{AC3C3E48-7EE1-416C-A7E4-EC545B966E1A}</x14:id>
        </ext>
      </extLst>
    </cfRule>
  </conditionalFormatting>
  <conditionalFormatting sqref="O29:O3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{59940707-531D-45A8-BA15-E04D56C609D5}</x14:id>
        </ext>
      </extLst>
    </cfRule>
  </conditionalFormatting>
  <pageMargins left="0.25" right="0.25" top="0.75" bottom="0.75" header="0.3" footer="0.3"/>
  <pageSetup paperSize="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3C3E48-7EE1-416C-A7E4-EC545B966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O3:O28</xm:sqref>
        </x14:conditionalFormatting>
        <x14:conditionalFormatting xmlns:xm="http://schemas.microsoft.com/office/excel/2006/main">
          <x14:cfRule type="dataBar" id="{59940707-531D-45A8-BA15-E04D56C609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O29:O38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3"/>
  <sheetViews>
    <sheetView topLeftCell="A2" zoomScale="110" zoomScaleNormal="110" workbookViewId="0">
      <selection activeCell="C7" sqref="C7"/>
    </sheetView>
  </sheetViews>
  <sheetFormatPr defaultRowHeight="15" x14ac:dyDescent="0.25"/>
  <cols>
    <col min="1" max="1" width="17.5703125" customWidth="1"/>
    <col min="5" max="6" width="13.42578125" bestFit="1" customWidth="1"/>
    <col min="7" max="7" width="22.42578125" bestFit="1" customWidth="1"/>
    <col min="9" max="9" width="20" bestFit="1" customWidth="1"/>
    <col min="15" max="15" width="13.85546875" bestFit="1" customWidth="1"/>
  </cols>
  <sheetData>
    <row r="1" spans="1:18" x14ac:dyDescent="0.25">
      <c r="A1" t="s">
        <v>80</v>
      </c>
      <c r="O1" t="s">
        <v>87</v>
      </c>
    </row>
    <row r="2" spans="1:18" x14ac:dyDescent="0.25">
      <c r="O2" t="s">
        <v>88</v>
      </c>
      <c r="P2" t="s">
        <v>89</v>
      </c>
      <c r="Q2">
        <v>7.33</v>
      </c>
      <c r="R2" t="s">
        <v>90</v>
      </c>
    </row>
    <row r="3" spans="1:18" x14ac:dyDescent="0.25">
      <c r="A3" t="s">
        <v>81</v>
      </c>
      <c r="O3" t="s">
        <v>83</v>
      </c>
      <c r="P3">
        <v>28</v>
      </c>
      <c r="Q3">
        <v>7.33</v>
      </c>
      <c r="R3" s="2">
        <f>P3*Q3</f>
        <v>205.24</v>
      </c>
    </row>
    <row r="4" spans="1:18" x14ac:dyDescent="0.25">
      <c r="A4" t="s">
        <v>82</v>
      </c>
      <c r="E4" t="s">
        <v>96</v>
      </c>
      <c r="F4">
        <v>800</v>
      </c>
      <c r="O4" s="33" t="s">
        <v>83</v>
      </c>
      <c r="P4" s="33">
        <v>30</v>
      </c>
      <c r="Q4" s="33">
        <v>7.33</v>
      </c>
      <c r="R4" s="2">
        <f>P4*Q4</f>
        <v>219.9</v>
      </c>
    </row>
    <row r="5" spans="1:18" x14ac:dyDescent="0.25">
      <c r="A5">
        <v>4</v>
      </c>
      <c r="B5">
        <v>7.33</v>
      </c>
      <c r="C5" s="2">
        <f>A5*B5</f>
        <v>29.32</v>
      </c>
      <c r="E5" t="s">
        <v>94</v>
      </c>
      <c r="F5">
        <v>25</v>
      </c>
      <c r="O5" s="33" t="s">
        <v>83</v>
      </c>
      <c r="P5" s="33">
        <v>31</v>
      </c>
      <c r="Q5" s="33">
        <v>7.33</v>
      </c>
      <c r="R5" s="2">
        <f>P5*Q5</f>
        <v>227.23</v>
      </c>
    </row>
    <row r="6" spans="1:18" x14ac:dyDescent="0.25">
      <c r="A6">
        <v>1</v>
      </c>
      <c r="B6">
        <v>7.33</v>
      </c>
      <c r="C6" s="2">
        <f>A6*B6</f>
        <v>7.33</v>
      </c>
      <c r="E6" t="s">
        <v>95</v>
      </c>
      <c r="F6">
        <v>5</v>
      </c>
      <c r="O6" t="s">
        <v>91</v>
      </c>
      <c r="P6" t="s">
        <v>92</v>
      </c>
      <c r="Q6" s="33">
        <v>7.33</v>
      </c>
      <c r="R6" s="2">
        <v>220</v>
      </c>
    </row>
    <row r="7" spans="1:18" x14ac:dyDescent="0.25">
      <c r="C7" s="2"/>
      <c r="F7">
        <f>F4/F5*F6</f>
        <v>160</v>
      </c>
    </row>
    <row r="8" spans="1:18" x14ac:dyDescent="0.25">
      <c r="A8">
        <v>30</v>
      </c>
      <c r="B8">
        <v>7.33</v>
      </c>
      <c r="C8" s="2">
        <f>A8*B8</f>
        <v>219.9</v>
      </c>
    </row>
    <row r="9" spans="1:18" x14ac:dyDescent="0.25">
      <c r="J9" s="1" t="s">
        <v>127</v>
      </c>
    </row>
    <row r="10" spans="1:18" x14ac:dyDescent="0.25">
      <c r="A10" t="s">
        <v>83</v>
      </c>
      <c r="J10" s="1" t="s">
        <v>128</v>
      </c>
    </row>
    <row r="11" spans="1:18" x14ac:dyDescent="0.25">
      <c r="A11" t="s">
        <v>79</v>
      </c>
      <c r="J11" s="1" t="s">
        <v>124</v>
      </c>
    </row>
    <row r="13" spans="1:18" x14ac:dyDescent="0.25">
      <c r="A13" t="s">
        <v>84</v>
      </c>
      <c r="B13">
        <v>25</v>
      </c>
      <c r="C13">
        <v>7.33</v>
      </c>
      <c r="D13" s="2">
        <f>B13*C13</f>
        <v>183.25</v>
      </c>
      <c r="F13" t="s">
        <v>93</v>
      </c>
    </row>
    <row r="14" spans="1:18" x14ac:dyDescent="0.25">
      <c r="A14" t="s">
        <v>85</v>
      </c>
      <c r="B14">
        <v>4</v>
      </c>
      <c r="C14" s="33">
        <v>7.33</v>
      </c>
      <c r="D14" s="2">
        <f t="shared" ref="D14:D15" si="0">B14*C14</f>
        <v>29.32</v>
      </c>
    </row>
    <row r="15" spans="1:18" x14ac:dyDescent="0.25">
      <c r="A15" t="s">
        <v>86</v>
      </c>
      <c r="B15">
        <v>1</v>
      </c>
      <c r="C15" s="33">
        <v>7.33</v>
      </c>
      <c r="D15" s="2">
        <f t="shared" si="0"/>
        <v>7.33</v>
      </c>
    </row>
    <row r="16" spans="1:18" x14ac:dyDescent="0.25">
      <c r="D16" s="2">
        <f>SUM(D13:D15)</f>
        <v>219.9</v>
      </c>
    </row>
    <row r="17" spans="1:4" x14ac:dyDescent="0.25">
      <c r="B17">
        <f>SUM(B13:B16)</f>
        <v>30</v>
      </c>
      <c r="C17">
        <v>7.33</v>
      </c>
      <c r="D17" s="2">
        <f>B17*C17</f>
        <v>219.9</v>
      </c>
    </row>
    <row r="18" spans="1:4" x14ac:dyDescent="0.25">
      <c r="D18" s="2"/>
    </row>
    <row r="19" spans="1:4" x14ac:dyDescent="0.25">
      <c r="A19" s="33" t="s">
        <v>84</v>
      </c>
      <c r="B19" s="33">
        <v>23</v>
      </c>
      <c r="C19" s="33">
        <v>7.33</v>
      </c>
      <c r="D19" s="2">
        <f>B19*C19</f>
        <v>168.59</v>
      </c>
    </row>
    <row r="20" spans="1:4" x14ac:dyDescent="0.25">
      <c r="A20" s="33" t="s">
        <v>85</v>
      </c>
      <c r="B20" s="33">
        <v>4</v>
      </c>
      <c r="C20" s="33">
        <v>7.33</v>
      </c>
      <c r="D20" s="2">
        <f t="shared" ref="D20:D21" si="1">B20*C20</f>
        <v>29.32</v>
      </c>
    </row>
    <row r="21" spans="1:4" x14ac:dyDescent="0.25">
      <c r="A21" s="33" t="s">
        <v>86</v>
      </c>
      <c r="B21" s="33">
        <v>1</v>
      </c>
      <c r="C21" s="33">
        <v>7.33</v>
      </c>
      <c r="D21" s="2">
        <f t="shared" si="1"/>
        <v>7.33</v>
      </c>
    </row>
    <row r="22" spans="1:4" x14ac:dyDescent="0.25">
      <c r="B22" s="33"/>
      <c r="C22" s="33"/>
      <c r="D22" s="2">
        <f>SUM(D19:D21)</f>
        <v>205.24</v>
      </c>
    </row>
    <row r="23" spans="1:4" x14ac:dyDescent="0.25">
      <c r="B23">
        <f>SUM(B19:B22)</f>
        <v>28</v>
      </c>
      <c r="C23">
        <v>7.33</v>
      </c>
      <c r="D23" s="2">
        <f>B23*C23</f>
        <v>205.24</v>
      </c>
    </row>
  </sheetData>
  <hyperlinks>
    <hyperlink ref="J9" r:id="rId1"/>
    <hyperlink ref="J10" r:id="rId2"/>
    <hyperlink ref="J11" r:id="rId3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4"/>
  <sheetViews>
    <sheetView zoomScale="90" zoomScaleNormal="90" workbookViewId="0">
      <selection activeCell="D4" sqref="D4"/>
    </sheetView>
  </sheetViews>
  <sheetFormatPr defaultRowHeight="15" x14ac:dyDescent="0.25"/>
  <cols>
    <col min="13" max="13" width="9.28515625" customWidth="1"/>
    <col min="14" max="14" width="10.5703125" customWidth="1"/>
    <col min="16" max="16" width="14.28515625" bestFit="1" customWidth="1"/>
  </cols>
  <sheetData>
    <row r="2" spans="1:16" x14ac:dyDescent="0.25">
      <c r="D2" t="s">
        <v>74</v>
      </c>
      <c r="E2" t="s">
        <v>75</v>
      </c>
      <c r="M2" t="s">
        <v>76</v>
      </c>
      <c r="O2" t="s">
        <v>77</v>
      </c>
      <c r="P2" t="s">
        <v>78</v>
      </c>
    </row>
    <row r="3" spans="1:16" x14ac:dyDescent="0.25">
      <c r="A3" s="33">
        <v>1110</v>
      </c>
      <c r="B3" s="33" t="s">
        <v>61</v>
      </c>
      <c r="C3" t="s">
        <v>49</v>
      </c>
      <c r="D3" t="s">
        <v>73</v>
      </c>
      <c r="E3" s="34">
        <v>0.25</v>
      </c>
      <c r="G3" s="34">
        <v>0.5</v>
      </c>
      <c r="I3" s="34">
        <v>0.75</v>
      </c>
      <c r="K3" s="34">
        <v>1</v>
      </c>
    </row>
    <row r="4" spans="1:16" x14ac:dyDescent="0.25">
      <c r="D4" s="2">
        <v>5847.45</v>
      </c>
      <c r="E4">
        <v>12.4</v>
      </c>
      <c r="F4" s="2">
        <v>5847.45</v>
      </c>
      <c r="G4" s="33">
        <v>12.4</v>
      </c>
      <c r="H4" s="2">
        <v>5847.45</v>
      </c>
      <c r="I4" s="33">
        <v>12.4</v>
      </c>
      <c r="J4" s="2">
        <v>5847.45</v>
      </c>
      <c r="K4" s="33">
        <v>12.4</v>
      </c>
      <c r="L4" s="2">
        <v>5847.45</v>
      </c>
      <c r="M4" s="33">
        <v>12.4</v>
      </c>
      <c r="N4" s="2">
        <v>5847.45</v>
      </c>
      <c r="O4" s="2">
        <v>5847.45</v>
      </c>
      <c r="P4" s="2">
        <v>5847.45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19"/>
  <sheetViews>
    <sheetView zoomScale="80" zoomScaleNormal="80" workbookViewId="0">
      <selection activeCell="G21" sqref="G21"/>
    </sheetView>
  </sheetViews>
  <sheetFormatPr defaultRowHeight="15" x14ac:dyDescent="0.25"/>
  <cols>
    <col min="1" max="1" width="10.28515625" customWidth="1"/>
    <col min="2" max="2" width="14.28515625" bestFit="1" customWidth="1"/>
    <col min="3" max="3" width="17.28515625" customWidth="1"/>
    <col min="4" max="4" width="13.140625" bestFit="1" customWidth="1"/>
    <col min="5" max="5" width="15.7109375" bestFit="1" customWidth="1"/>
  </cols>
  <sheetData>
    <row r="2" spans="1:12" x14ac:dyDescent="0.25">
      <c r="A2" t="s">
        <v>38</v>
      </c>
      <c r="B2" t="s">
        <v>39</v>
      </c>
      <c r="C2" t="s">
        <v>46</v>
      </c>
      <c r="G2" t="s">
        <v>38</v>
      </c>
      <c r="H2" t="s">
        <v>106</v>
      </c>
      <c r="K2" t="s">
        <v>38</v>
      </c>
      <c r="L2" t="s">
        <v>135</v>
      </c>
    </row>
    <row r="3" spans="1:12" s="33" customFormat="1" x14ac:dyDescent="0.25">
      <c r="A3" s="33" t="s">
        <v>41</v>
      </c>
      <c r="B3" s="33" t="s">
        <v>42</v>
      </c>
      <c r="C3" s="33" t="s">
        <v>43</v>
      </c>
      <c r="E3"/>
      <c r="F3"/>
      <c r="G3" t="s">
        <v>100</v>
      </c>
      <c r="H3"/>
      <c r="K3" s="33" t="s">
        <v>100</v>
      </c>
    </row>
    <row r="4" spans="1:12" x14ac:dyDescent="0.25">
      <c r="A4" s="2">
        <v>0</v>
      </c>
      <c r="B4" s="37">
        <v>907.77</v>
      </c>
      <c r="C4" s="2">
        <v>46.54</v>
      </c>
      <c r="G4" t="s">
        <v>91</v>
      </c>
      <c r="K4" s="44" t="s">
        <v>136</v>
      </c>
    </row>
    <row r="5" spans="1:12" x14ac:dyDescent="0.25">
      <c r="A5" s="37">
        <v>907.78</v>
      </c>
      <c r="B5" s="2">
        <v>1364.43</v>
      </c>
      <c r="C5" s="2">
        <v>32.799999999999997</v>
      </c>
      <c r="G5" t="s">
        <v>83</v>
      </c>
      <c r="K5" s="44" t="s">
        <v>137</v>
      </c>
    </row>
    <row r="7" spans="1:12" x14ac:dyDescent="0.25">
      <c r="A7" t="s">
        <v>38</v>
      </c>
      <c r="B7" t="s">
        <v>5</v>
      </c>
    </row>
    <row r="8" spans="1:12" s="33" customFormat="1" x14ac:dyDescent="0.25">
      <c r="A8" s="33" t="s">
        <v>41</v>
      </c>
      <c r="B8" s="33" t="s">
        <v>42</v>
      </c>
      <c r="C8" s="33" t="s">
        <v>44</v>
      </c>
      <c r="D8" s="33" t="s">
        <v>3</v>
      </c>
      <c r="E8"/>
      <c r="F8"/>
      <c r="G8"/>
      <c r="H8"/>
    </row>
    <row r="9" spans="1:12" x14ac:dyDescent="0.25">
      <c r="A9" s="2">
        <v>0</v>
      </c>
      <c r="B9" s="37">
        <v>1751.81</v>
      </c>
      <c r="C9" s="34">
        <v>0.08</v>
      </c>
      <c r="D9" s="2">
        <v>642.34</v>
      </c>
    </row>
    <row r="10" spans="1:12" x14ac:dyDescent="0.25">
      <c r="A10" s="2">
        <v>1751.82</v>
      </c>
      <c r="B10" s="37">
        <v>2919.72</v>
      </c>
      <c r="C10" s="34">
        <v>0.09</v>
      </c>
      <c r="D10" s="2"/>
    </row>
    <row r="11" spans="1:12" x14ac:dyDescent="0.25">
      <c r="A11" s="2">
        <v>2919.73</v>
      </c>
      <c r="B11" s="37">
        <v>5839.45</v>
      </c>
      <c r="C11" s="34">
        <v>0.11</v>
      </c>
      <c r="D11" s="2"/>
    </row>
    <row r="12" spans="1:12" x14ac:dyDescent="0.25">
      <c r="G12" s="33"/>
    </row>
    <row r="13" spans="1:12" x14ac:dyDescent="0.25">
      <c r="A13" t="s">
        <v>38</v>
      </c>
      <c r="B13" t="s">
        <v>9</v>
      </c>
      <c r="C13" s="1" t="s">
        <v>40</v>
      </c>
      <c r="D13" s="33"/>
    </row>
    <row r="14" spans="1:12" s="33" customFormat="1" x14ac:dyDescent="0.25">
      <c r="A14" s="33" t="s">
        <v>41</v>
      </c>
      <c r="B14" s="33" t="s">
        <v>42</v>
      </c>
      <c r="C14" s="33" t="s">
        <v>44</v>
      </c>
      <c r="D14" s="33" t="s">
        <v>45</v>
      </c>
      <c r="G14"/>
      <c r="H14" s="1"/>
    </row>
    <row r="15" spans="1:12" x14ac:dyDescent="0.25">
      <c r="A15" s="35">
        <v>0</v>
      </c>
      <c r="B15" s="36">
        <v>1903.98</v>
      </c>
      <c r="C15" s="3">
        <v>0</v>
      </c>
      <c r="D15" s="35">
        <v>0</v>
      </c>
    </row>
    <row r="16" spans="1:12" x14ac:dyDescent="0.25">
      <c r="A16" s="35">
        <v>1903.99</v>
      </c>
      <c r="B16" s="36">
        <v>2826.65</v>
      </c>
      <c r="C16" s="3">
        <v>7.4999999999999997E-2</v>
      </c>
      <c r="D16" s="35">
        <v>142.80000000000001</v>
      </c>
    </row>
    <row r="17" spans="1:4" x14ac:dyDescent="0.25">
      <c r="A17" s="35">
        <v>2826.66</v>
      </c>
      <c r="B17" s="35">
        <v>3751.05</v>
      </c>
      <c r="C17" s="3">
        <v>0.15</v>
      </c>
      <c r="D17" s="35">
        <v>354.8</v>
      </c>
    </row>
    <row r="18" spans="1:4" x14ac:dyDescent="0.25">
      <c r="A18" s="35">
        <v>3751.06</v>
      </c>
      <c r="B18" s="35">
        <v>4664.68</v>
      </c>
      <c r="C18" s="29">
        <v>0.22500000000000001</v>
      </c>
      <c r="D18" s="35">
        <v>636.13</v>
      </c>
    </row>
    <row r="19" spans="1:4" x14ac:dyDescent="0.25">
      <c r="A19" s="36">
        <v>4664.6899999999996</v>
      </c>
      <c r="C19" s="3">
        <v>0.27500000000000002</v>
      </c>
      <c r="D19" s="35">
        <v>869.36</v>
      </c>
    </row>
  </sheetData>
  <hyperlinks>
    <hyperlink ref="C13" r:id="rId1"/>
  </hyperlinks>
  <pageMargins left="0.511811024" right="0.511811024" top="0.78740157499999996" bottom="0.78740157499999996" header="0.31496062000000002" footer="0.31496062000000002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A2" sqref="A2:B6"/>
    </sheetView>
  </sheetViews>
  <sheetFormatPr defaultRowHeight="15" x14ac:dyDescent="0.25"/>
  <cols>
    <col min="1" max="1" width="9.28515625" customWidth="1"/>
    <col min="2" max="2" width="24" bestFit="1" customWidth="1"/>
  </cols>
  <sheetData>
    <row r="1" spans="1:2" x14ac:dyDescent="0.25">
      <c r="A1" t="s">
        <v>47</v>
      </c>
      <c r="B1" t="s">
        <v>48</v>
      </c>
    </row>
    <row r="2" spans="1:2" x14ac:dyDescent="0.25">
      <c r="A2" t="s">
        <v>49</v>
      </c>
      <c r="B2" t="s">
        <v>50</v>
      </c>
    </row>
    <row r="3" spans="1:2" x14ac:dyDescent="0.25">
      <c r="A3" t="s">
        <v>51</v>
      </c>
      <c r="B3" t="s">
        <v>52</v>
      </c>
    </row>
    <row r="4" spans="1:2" x14ac:dyDescent="0.25">
      <c r="A4" t="s">
        <v>53</v>
      </c>
      <c r="B4" t="s">
        <v>54</v>
      </c>
    </row>
    <row r="5" spans="1:2" x14ac:dyDescent="0.25">
      <c r="A5" t="s">
        <v>55</v>
      </c>
      <c r="B5" t="s">
        <v>56</v>
      </c>
    </row>
    <row r="6" spans="1:2" x14ac:dyDescent="0.25">
      <c r="A6" t="s">
        <v>70</v>
      </c>
      <c r="B6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workbookViewId="0">
      <selection activeCell="C2" activeCellId="1" sqref="A2 C2"/>
    </sheetView>
  </sheetViews>
  <sheetFormatPr defaultRowHeight="15" x14ac:dyDescent="0.25"/>
  <cols>
    <col min="3" max="3" width="31" bestFit="1" customWidth="1"/>
    <col min="4" max="4" width="10.7109375" bestFit="1" customWidth="1"/>
    <col min="5" max="5" width="16.28515625" bestFit="1" customWidth="1"/>
    <col min="6" max="6" width="13.5703125" bestFit="1" customWidth="1"/>
  </cols>
  <sheetData>
    <row r="1" spans="1:6" x14ac:dyDescent="0.25">
      <c r="A1" t="s">
        <v>57</v>
      </c>
      <c r="B1" t="s">
        <v>59</v>
      </c>
      <c r="C1" t="s">
        <v>58</v>
      </c>
      <c r="D1" t="s">
        <v>62</v>
      </c>
      <c r="F1" t="s">
        <v>72</v>
      </c>
    </row>
    <row r="2" spans="1:6" x14ac:dyDescent="0.25">
      <c r="A2">
        <v>1110</v>
      </c>
      <c r="B2" t="s">
        <v>60</v>
      </c>
      <c r="C2" t="s">
        <v>61</v>
      </c>
      <c r="D2" s="27">
        <v>26684</v>
      </c>
      <c r="E2" t="s">
        <v>52</v>
      </c>
      <c r="F2" s="2">
        <v>1000</v>
      </c>
    </row>
    <row r="3" spans="1:6" x14ac:dyDescent="0.25">
      <c r="A3">
        <v>1111</v>
      </c>
      <c r="B3" t="s">
        <v>60</v>
      </c>
      <c r="C3" t="s">
        <v>63</v>
      </c>
      <c r="D3" s="27">
        <v>23494</v>
      </c>
      <c r="E3" s="33" t="s">
        <v>52</v>
      </c>
      <c r="F3" s="2">
        <v>12387.25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DEPTO!$B$2:$B$5</xm:f>
          </x14:formula1>
          <xm:sqref>E2:E3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A2" sqref="A2"/>
    </sheetView>
  </sheetViews>
  <sheetFormatPr defaultRowHeight="15" x14ac:dyDescent="0.25"/>
  <cols>
    <col min="1" max="1" width="9.140625" style="33"/>
    <col min="4" max="4" width="24.140625" bestFit="1" customWidth="1"/>
  </cols>
  <sheetData>
    <row r="1" spans="1:5" x14ac:dyDescent="0.25">
      <c r="A1" s="33" t="s">
        <v>69</v>
      </c>
      <c r="B1" s="33" t="s">
        <v>57</v>
      </c>
      <c r="C1" t="s">
        <v>64</v>
      </c>
      <c r="D1" t="s">
        <v>58</v>
      </c>
      <c r="E1" t="s">
        <v>62</v>
      </c>
    </row>
    <row r="2" spans="1:5" x14ac:dyDescent="0.25">
      <c r="A2" s="33">
        <v>1</v>
      </c>
      <c r="B2" s="33">
        <v>1110</v>
      </c>
      <c r="C2" t="s">
        <v>65</v>
      </c>
      <c r="D2" t="s">
        <v>66</v>
      </c>
    </row>
    <row r="3" spans="1:5" x14ac:dyDescent="0.25">
      <c r="B3" s="33">
        <v>1110</v>
      </c>
      <c r="C3" s="33" t="s">
        <v>68</v>
      </c>
      <c r="D3" t="s">
        <v>67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FF5C98-4268-49E2-A7F8-2DC5C06568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CALC</vt:lpstr>
      <vt:lpstr>bkp-calc</vt:lpstr>
      <vt:lpstr>Planilha1</vt:lpstr>
      <vt:lpstr>Planilha7</vt:lpstr>
      <vt:lpstr>Planilha6</vt:lpstr>
      <vt:lpstr>TABELAS</vt:lpstr>
      <vt:lpstr>DEPTO</vt:lpstr>
      <vt:lpstr>FUNCIONÁRIO</vt:lpstr>
      <vt:lpstr>DEPENDENTES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mayer.wti</dc:creator>
  <cp:lastModifiedBy>mayer.wti</cp:lastModifiedBy>
  <cp:lastPrinted>2018-08-23T13:39:11Z</cp:lastPrinted>
  <dcterms:created xsi:type="dcterms:W3CDTF">2018-08-20T19:59:14Z</dcterms:created>
  <dcterms:modified xsi:type="dcterms:W3CDTF">2019-04-24T20:54:51Z</dcterms:modified>
</cp:coreProperties>
</file>